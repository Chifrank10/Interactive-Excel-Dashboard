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hiso\Desktop\"/>
    </mc:Choice>
  </mc:AlternateContent>
  <xr:revisionPtr revIDLastSave="0" documentId="13_ncr:9_{CCD05DE4-A2E3-4A8E-93D5-7814AF386E5F}" xr6:coauthVersionLast="47" xr6:coauthVersionMax="47" xr10:uidLastSave="{00000000-0000-0000-0000-000000000000}"/>
  <bookViews>
    <workbookView xWindow="-120" yWindow="-120" windowWidth="20730" windowHeight="11040" firstSheet="1" activeTab="1" xr2:uid="{39BC6813-2F8C-4854-992A-1412CFAA8508}"/>
  </bookViews>
  <sheets>
    <sheet name="PLANTATION FILE" sheetId="1" state="hidden" r:id="rId1"/>
    <sheet name="Dashboard" sheetId="2" r:id="rId2"/>
    <sheet name="Customers" sheetId="3" r:id="rId3"/>
    <sheet name="Products" sheetId="4" r:id="rId4"/>
    <sheet name="Vendors" sheetId="5" r:id="rId5"/>
    <sheet name="Purchase" sheetId="6" r:id="rId6"/>
    <sheet name="Sale" sheetId="7" r:id="rId7"/>
    <sheet name="Inventory" sheetId="8" r:id="rId8"/>
    <sheet name="Pivot tables" sheetId="9" r:id="rId9"/>
  </sheets>
  <definedNames>
    <definedName name="Custid">Custdata[Cust_Id]</definedName>
    <definedName name="Pcode">Products[P_code]</definedName>
  </definedNames>
  <calcPr calcId="0"/>
  <pivotCaches>
    <pivotCache cacheId="40" r:id="rId10"/>
    <pivotCache cacheId="38" r:id="rId11"/>
    <pivotCache cacheId="26" r:id="rId12"/>
    <pivotCache cacheId="29" r:id="rId13"/>
    <pivotCache cacheId="32" r:id="rId14"/>
  </pivotCaches>
</workbook>
</file>

<file path=xl/calcChain.xml><?xml version="1.0" encoding="utf-8"?>
<calcChain xmlns="http://schemas.openxmlformats.org/spreadsheetml/2006/main">
  <c r="K24" i="8" l="1"/>
  <c r="F14" i="6"/>
  <c r="D16" i="8"/>
  <c r="D8" i="8"/>
  <c r="H8" i="8" s="1"/>
  <c r="E8" i="8"/>
  <c r="F8" i="8"/>
  <c r="D9" i="8"/>
  <c r="H9" i="8" s="1"/>
  <c r="E9" i="8"/>
  <c r="F9" i="8"/>
  <c r="D10" i="8"/>
  <c r="H10" i="8" s="1"/>
  <c r="E10" i="8"/>
  <c r="F10" i="8"/>
  <c r="D11" i="8"/>
  <c r="G11" i="8" s="1"/>
  <c r="E11" i="8"/>
  <c r="F11" i="8"/>
  <c r="D12" i="8"/>
  <c r="G12" i="8" s="1"/>
  <c r="E12" i="8"/>
  <c r="F12" i="8"/>
  <c r="D13" i="8"/>
  <c r="H13" i="8" s="1"/>
  <c r="E13" i="8"/>
  <c r="F13" i="8"/>
  <c r="D14" i="8"/>
  <c r="H14" i="8" s="1"/>
  <c r="E14" i="8"/>
  <c r="F14" i="8"/>
  <c r="D15" i="8"/>
  <c r="H15" i="8" s="1"/>
  <c r="E15" i="8"/>
  <c r="F15" i="8"/>
  <c r="H16" i="8"/>
  <c r="E16" i="8"/>
  <c r="F16" i="8"/>
  <c r="E7" i="8"/>
  <c r="F7" i="8"/>
  <c r="D7" i="8"/>
  <c r="D17" i="8"/>
  <c r="H17" i="8" s="1"/>
  <c r="D18" i="8"/>
  <c r="H18" i="8" s="1"/>
  <c r="D19" i="8"/>
  <c r="G19" i="8" s="1"/>
  <c r="D20" i="8"/>
  <c r="G20" i="8" s="1"/>
  <c r="D21" i="8"/>
  <c r="H21" i="8" s="1"/>
  <c r="D22" i="8"/>
  <c r="H22" i="8" s="1"/>
  <c r="D23" i="8"/>
  <c r="H23" i="8" s="1"/>
  <c r="D24" i="8"/>
  <c r="H24" i="8" s="1"/>
  <c r="L10" i="7"/>
  <c r="L16" i="7"/>
  <c r="K7" i="7"/>
  <c r="L7" i="7" s="1"/>
  <c r="K8" i="7"/>
  <c r="L8" i="7" s="1"/>
  <c r="K9" i="7"/>
  <c r="L9" i="7" s="1"/>
  <c r="K10" i="7"/>
  <c r="K11" i="7"/>
  <c r="L11" i="7" s="1"/>
  <c r="K12" i="7"/>
  <c r="L12" i="7" s="1"/>
  <c r="K13" i="7"/>
  <c r="L13" i="7" s="1"/>
  <c r="K14" i="7"/>
  <c r="L14" i="7" s="1"/>
  <c r="K15" i="7"/>
  <c r="L15" i="7" s="1"/>
  <c r="K16" i="7"/>
  <c r="K17" i="7"/>
  <c r="L17" i="7" s="1"/>
  <c r="G7" i="7"/>
  <c r="G8" i="7"/>
  <c r="G9" i="7"/>
  <c r="G10" i="7"/>
  <c r="G11" i="7"/>
  <c r="G12" i="7"/>
  <c r="G13" i="7"/>
  <c r="G14" i="7"/>
  <c r="G15" i="7"/>
  <c r="G16" i="7"/>
  <c r="G17" i="7"/>
  <c r="E7" i="7"/>
  <c r="E8" i="7"/>
  <c r="E9" i="7"/>
  <c r="E10" i="7"/>
  <c r="E11" i="7"/>
  <c r="E12" i="7"/>
  <c r="E13" i="7"/>
  <c r="E14" i="7"/>
  <c r="E15" i="7"/>
  <c r="E16" i="7"/>
  <c r="E17" i="7"/>
  <c r="J7" i="6"/>
  <c r="I7" i="6"/>
  <c r="I8" i="6"/>
  <c r="J8" i="6" s="1"/>
  <c r="I9" i="6"/>
  <c r="J9" i="6" s="1"/>
  <c r="I10" i="6"/>
  <c r="J10" i="6" s="1"/>
  <c r="I11" i="6"/>
  <c r="J11" i="6" s="1"/>
  <c r="I12" i="6"/>
  <c r="J12" i="6" s="1"/>
  <c r="I13" i="6"/>
  <c r="J13" i="6" s="1"/>
  <c r="I14" i="6"/>
  <c r="J14" i="6" s="1"/>
  <c r="I15" i="6"/>
  <c r="J15" i="6" s="1"/>
  <c r="F7" i="6"/>
  <c r="F8" i="6"/>
  <c r="F9" i="6"/>
  <c r="F10" i="6"/>
  <c r="F11" i="6"/>
  <c r="F12" i="6"/>
  <c r="F13" i="6"/>
  <c r="F15" i="6"/>
  <c r="E7" i="6"/>
  <c r="E8" i="6"/>
  <c r="E9" i="6"/>
  <c r="E10" i="6"/>
  <c r="E11" i="6"/>
  <c r="E12" i="6"/>
  <c r="E13" i="6"/>
  <c r="E14" i="6"/>
  <c r="E15" i="6"/>
  <c r="C12" i="9"/>
  <c r="C9" i="9"/>
  <c r="C6" i="9"/>
  <c r="C3" i="9"/>
  <c r="G10" i="8" l="1"/>
  <c r="I10" i="8" s="1"/>
  <c r="I11" i="7" s="1"/>
  <c r="G9" i="8"/>
  <c r="I9" i="8" s="1"/>
  <c r="G18" i="8"/>
  <c r="I18" i="8" s="1"/>
  <c r="H7" i="8"/>
  <c r="G15" i="8"/>
  <c r="I15" i="8" s="1"/>
  <c r="K15" i="8" s="1"/>
  <c r="I17" i="7"/>
  <c r="I16" i="7"/>
  <c r="I15" i="7"/>
  <c r="G7" i="8"/>
  <c r="I14" i="7"/>
  <c r="G24" i="8"/>
  <c r="I24" i="8" s="1"/>
  <c r="G23" i="8"/>
  <c r="I23" i="8" s="1"/>
  <c r="H12" i="8"/>
  <c r="I12" i="8" s="1"/>
  <c r="G21" i="8"/>
  <c r="I21" i="8" s="1"/>
  <c r="G17" i="8"/>
  <c r="I17" i="8" s="1"/>
  <c r="H19" i="8"/>
  <c r="I19" i="8" s="1"/>
  <c r="H11" i="8"/>
  <c r="I11" i="8" s="1"/>
  <c r="G16" i="8"/>
  <c r="I16" i="8" s="1"/>
  <c r="G8" i="8"/>
  <c r="I8" i="8" s="1"/>
  <c r="G22" i="8"/>
  <c r="I22" i="8" s="1"/>
  <c r="G14" i="8"/>
  <c r="I14" i="8" s="1"/>
  <c r="H20" i="8"/>
  <c r="I20" i="8" s="1"/>
  <c r="G13" i="8"/>
  <c r="I13" i="8" s="1"/>
  <c r="I13" i="7" l="1"/>
  <c r="K16" i="8"/>
  <c r="I12" i="7"/>
  <c r="J8" i="8"/>
  <c r="K8" i="8"/>
  <c r="K22" i="8"/>
  <c r="J22" i="8"/>
  <c r="K19" i="8"/>
  <c r="J19" i="8"/>
  <c r="J24" i="8"/>
  <c r="J18" i="8"/>
  <c r="K18" i="8"/>
  <c r="J12" i="8"/>
  <c r="K12" i="8"/>
  <c r="J13" i="8"/>
  <c r="K13" i="8"/>
  <c r="K17" i="8"/>
  <c r="J17" i="8"/>
  <c r="J11" i="8"/>
  <c r="K11" i="8"/>
  <c r="K20" i="8"/>
  <c r="J20" i="8"/>
  <c r="K9" i="8"/>
  <c r="J9" i="8"/>
  <c r="K23" i="8"/>
  <c r="J23" i="8"/>
  <c r="K14" i="8"/>
  <c r="J14" i="8"/>
  <c r="J21" i="8"/>
  <c r="K21" i="8"/>
  <c r="K10" i="8"/>
  <c r="J10" i="8"/>
  <c r="J15" i="8"/>
  <c r="J16" i="8"/>
  <c r="I7" i="8"/>
  <c r="I10" i="7"/>
  <c r="I9" i="7"/>
  <c r="I8" i="7"/>
  <c r="K7" i="8" l="1"/>
  <c r="P4" i="2" s="1" a="1"/>
  <c r="P4" i="2" s="1"/>
  <c r="J7" i="8"/>
  <c r="I7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<sst xmlns="http://schemas.openxmlformats.org/spreadsheetml/2006/main" count="3851" uniqueCount="327">
  <si>
    <t>Date</t>
  </si>
  <si>
    <t>Activity Name</t>
  </si>
  <si>
    <t>Blocks</t>
  </si>
  <si>
    <t>CONTRACTOR</t>
  </si>
  <si>
    <t>PALMS</t>
  </si>
  <si>
    <t>HECTARE</t>
  </si>
  <si>
    <t>RATES</t>
  </si>
  <si>
    <t>SERVICE CHARGE</t>
  </si>
  <si>
    <t>TOTAL</t>
  </si>
  <si>
    <t>2022 HCV RAOD DEMACATION</t>
  </si>
  <si>
    <t>A3.2</t>
  </si>
  <si>
    <t>AMAZING CROWN</t>
  </si>
  <si>
    <t>SLASHING2024</t>
  </si>
  <si>
    <t>F10.4</t>
  </si>
  <si>
    <t>OKOWUSCO</t>
  </si>
  <si>
    <t>F10.2</t>
  </si>
  <si>
    <t>C7.2</t>
  </si>
  <si>
    <t>ISILUCK</t>
  </si>
  <si>
    <t>C7.1</t>
  </si>
  <si>
    <t>SOKYMOORE</t>
  </si>
  <si>
    <t>PALM DISTRIBUTION</t>
  </si>
  <si>
    <t>G9.3</t>
  </si>
  <si>
    <t>ARUNA</t>
  </si>
  <si>
    <t>G9.1</t>
  </si>
  <si>
    <t>FAITHCITY</t>
  </si>
  <si>
    <t>G9.2</t>
  </si>
  <si>
    <t>K.Z COLE</t>
  </si>
  <si>
    <t>JEWS CONSULT</t>
  </si>
  <si>
    <t>D6.2</t>
  </si>
  <si>
    <t>B6.3</t>
  </si>
  <si>
    <t>CIRCLE WEEDING 2024</t>
  </si>
  <si>
    <t>F7.3</t>
  </si>
  <si>
    <t>ORELOPE</t>
  </si>
  <si>
    <t>F9.2</t>
  </si>
  <si>
    <t>FERTILIZER APPLICATION( RPP 2024)</t>
  </si>
  <si>
    <t>E8.2</t>
  </si>
  <si>
    <t>FERTILIZER APPLICATION(NPK 2024 )</t>
  </si>
  <si>
    <t>B6.4</t>
  </si>
  <si>
    <t>E8.4</t>
  </si>
  <si>
    <t>LOADING OF FERTILIZE[[NPK]</t>
  </si>
  <si>
    <t>B7.2</t>
  </si>
  <si>
    <t>E9.2</t>
  </si>
  <si>
    <t>PALM PLANTING 2024</t>
  </si>
  <si>
    <t>G9.4</t>
  </si>
  <si>
    <t>PALM NETTING2024</t>
  </si>
  <si>
    <t>F11.1</t>
  </si>
  <si>
    <t>D6.1</t>
  </si>
  <si>
    <t>E9.3</t>
  </si>
  <si>
    <t>E12.1</t>
  </si>
  <si>
    <t>E10.1</t>
  </si>
  <si>
    <t>D6.3</t>
  </si>
  <si>
    <t>E9.4</t>
  </si>
  <si>
    <t>E11.1</t>
  </si>
  <si>
    <t>E11.2</t>
  </si>
  <si>
    <t>E8.1</t>
  </si>
  <si>
    <t>E8.3</t>
  </si>
  <si>
    <t>F11.2</t>
  </si>
  <si>
    <t>STARGEE</t>
  </si>
  <si>
    <t>PUERERIA SOWING</t>
  </si>
  <si>
    <t>SANI</t>
  </si>
  <si>
    <t>CIRCLE SPRAYING</t>
  </si>
  <si>
    <t>C5.2</t>
  </si>
  <si>
    <t>D4.1</t>
  </si>
  <si>
    <t>BRAINWORK</t>
  </si>
  <si>
    <t>C5.1</t>
  </si>
  <si>
    <t>INFILLING HOLING 2024</t>
  </si>
  <si>
    <t>G8.4</t>
  </si>
  <si>
    <t>B6.2</t>
  </si>
  <si>
    <t>G11.3</t>
  </si>
  <si>
    <t>G11.1</t>
  </si>
  <si>
    <t>INFILLING PEGGING/LINING</t>
  </si>
  <si>
    <t>B7.3</t>
  </si>
  <si>
    <t>B7.1</t>
  </si>
  <si>
    <t>PEST CONTROL GRASSCTTER CONTROL</t>
  </si>
  <si>
    <t>DANIEL MONDAY</t>
  </si>
  <si>
    <t>CUTTING OF WIREMESH</t>
  </si>
  <si>
    <t>BASE OFFICE</t>
  </si>
  <si>
    <t>A5.3</t>
  </si>
  <si>
    <t>G11.2</t>
  </si>
  <si>
    <t>21 SEARCH</t>
  </si>
  <si>
    <t>CIRCLE WEEDING2024</t>
  </si>
  <si>
    <t>C6.1</t>
  </si>
  <si>
    <t>ELECTRICAL MAINTENANCE</t>
  </si>
  <si>
    <t>SANUSI OFFICE</t>
  </si>
  <si>
    <t>G8.3</t>
  </si>
  <si>
    <t>D9.1</t>
  </si>
  <si>
    <t>C6.4</t>
  </si>
  <si>
    <t>E7.4</t>
  </si>
  <si>
    <t>FAITH ADEWOLU</t>
  </si>
  <si>
    <t>PUERERIA  UPKEEP</t>
  </si>
  <si>
    <t>E7.3</t>
  </si>
  <si>
    <t>E9.1</t>
  </si>
  <si>
    <t>CONSOLIDATION OF PALM</t>
  </si>
  <si>
    <t>C4.1</t>
  </si>
  <si>
    <t>B5.1</t>
  </si>
  <si>
    <t>C4.3</t>
  </si>
  <si>
    <t>H9.4</t>
  </si>
  <si>
    <t>D8.3</t>
  </si>
  <si>
    <t>GEOSYNOPTIC</t>
  </si>
  <si>
    <t>C6.2</t>
  </si>
  <si>
    <t>G10.1</t>
  </si>
  <si>
    <t>OGBESE /SANUSI</t>
  </si>
  <si>
    <t>D9.2</t>
  </si>
  <si>
    <t>G10.2</t>
  </si>
  <si>
    <t>D7.1</t>
  </si>
  <si>
    <t>B8.1</t>
  </si>
  <si>
    <t>E11.4</t>
  </si>
  <si>
    <t>B6.1</t>
  </si>
  <si>
    <t>WILSOLAB</t>
  </si>
  <si>
    <t>E10.3</t>
  </si>
  <si>
    <t>LOADING OF FERTILIZE[[RRP]</t>
  </si>
  <si>
    <t>G10.3</t>
  </si>
  <si>
    <t>OFFLOADING OF NPK FERTILIZER (BAGS)</t>
  </si>
  <si>
    <t>STORE</t>
  </si>
  <si>
    <t>E10.2</t>
  </si>
  <si>
    <t>C4.4</t>
  </si>
  <si>
    <t>B4.1</t>
  </si>
  <si>
    <t>D4.2</t>
  </si>
  <si>
    <t>D4.3</t>
  </si>
  <si>
    <t>B3.4</t>
  </si>
  <si>
    <t>MOPPING OF PEGS 2024 PLANTING</t>
  </si>
  <si>
    <t>C6.3</t>
  </si>
  <si>
    <t>MOPPING OF PALMS</t>
  </si>
  <si>
    <t>C5.3</t>
  </si>
  <si>
    <t>C7.4</t>
  </si>
  <si>
    <t>D4.4</t>
  </si>
  <si>
    <t>D6.4</t>
  </si>
  <si>
    <t>B9.3</t>
  </si>
  <si>
    <t>B9.2</t>
  </si>
  <si>
    <t>B9.1</t>
  </si>
  <si>
    <t>F8.3</t>
  </si>
  <si>
    <t>QUALITY CHECK</t>
  </si>
  <si>
    <t>A4.1</t>
  </si>
  <si>
    <t>C4.2</t>
  </si>
  <si>
    <t>EVENING SLASHING</t>
  </si>
  <si>
    <t>D8.2</t>
  </si>
  <si>
    <t>G11.4</t>
  </si>
  <si>
    <t>F9.1</t>
  </si>
  <si>
    <t>E4.1</t>
  </si>
  <si>
    <t>C5.4</t>
  </si>
  <si>
    <t>F7.4</t>
  </si>
  <si>
    <t>F11.3</t>
  </si>
  <si>
    <t>F8.1</t>
  </si>
  <si>
    <t>E11.3</t>
  </si>
  <si>
    <t>CIRCLE WEEDING2022</t>
  </si>
  <si>
    <t>C3.4</t>
  </si>
  <si>
    <t>F11.4</t>
  </si>
  <si>
    <t>B10.3</t>
  </si>
  <si>
    <t>B5.2</t>
  </si>
  <si>
    <t>B4.2</t>
  </si>
  <si>
    <t>CUTTING OF 1.5M PEGS</t>
  </si>
  <si>
    <t>D7.2</t>
  </si>
  <si>
    <t>G4.3</t>
  </si>
  <si>
    <t>COUNTING OF PALMS</t>
  </si>
  <si>
    <t>BLACK BUNCH CENSUS</t>
  </si>
  <si>
    <t>A4.4</t>
  </si>
  <si>
    <t>B7.4</t>
  </si>
  <si>
    <t>F10.3</t>
  </si>
  <si>
    <t>C10.2</t>
  </si>
  <si>
    <t>D7.3</t>
  </si>
  <si>
    <t>E10.4</t>
  </si>
  <si>
    <t>C12.2</t>
  </si>
  <si>
    <t>E12.2</t>
  </si>
  <si>
    <t>F8.4</t>
  </si>
  <si>
    <t>FRESH FRUIT BUNCH PLATFORM</t>
  </si>
  <si>
    <t>A4.2</t>
  </si>
  <si>
    <t>C8.4</t>
  </si>
  <si>
    <t>HOLE DETECTOR</t>
  </si>
  <si>
    <t>BLANKET SPRAYING</t>
  </si>
  <si>
    <t>B5.3</t>
  </si>
  <si>
    <t>B5.4</t>
  </si>
  <si>
    <t>A3.4</t>
  </si>
  <si>
    <t>CUTTING OF SHORT PEGS</t>
  </si>
  <si>
    <t>D11.1</t>
  </si>
  <si>
    <t>B9.4</t>
  </si>
  <si>
    <t>C7.3</t>
  </si>
  <si>
    <t>B10.1</t>
  </si>
  <si>
    <t>A4.3</t>
  </si>
  <si>
    <t>A5.1</t>
  </si>
  <si>
    <t>C9.3</t>
  </si>
  <si>
    <t>C9.1</t>
  </si>
  <si>
    <t>B4.4</t>
  </si>
  <si>
    <t>B4.3</t>
  </si>
  <si>
    <t>C11.3</t>
  </si>
  <si>
    <t>D11.2</t>
  </si>
  <si>
    <t>D12.3</t>
  </si>
  <si>
    <t>TRACTOR SLASHING</t>
  </si>
  <si>
    <t>F6.1</t>
  </si>
  <si>
    <t>C10.4</t>
  </si>
  <si>
    <t>C9.2</t>
  </si>
  <si>
    <t>TRACTOR HOLING</t>
  </si>
  <si>
    <t>D9.4</t>
  </si>
  <si>
    <t>D11.3</t>
  </si>
  <si>
    <t xml:space="preserve">BLESSED </t>
  </si>
  <si>
    <t>F8.2</t>
  </si>
  <si>
    <t>C12.1</t>
  </si>
  <si>
    <t>A5.4</t>
  </si>
  <si>
    <t>PALM NETTING 2022</t>
  </si>
  <si>
    <t>WASTE EVACUATION</t>
  </si>
  <si>
    <t>PALM CENSUS</t>
  </si>
  <si>
    <t>F12.1</t>
  </si>
  <si>
    <t>H11.1</t>
  </si>
  <si>
    <t>PUERERIA WEEDING</t>
  </si>
  <si>
    <t>A5.2</t>
  </si>
  <si>
    <t>TRANSLOADING OF SEEDLINGS ACCROSS THE BRIDGE</t>
  </si>
  <si>
    <t>OGBESE TO BRIDGE</t>
  </si>
  <si>
    <t>C10.1</t>
  </si>
  <si>
    <t>BY THE BRIDGE</t>
  </si>
  <si>
    <t>C11.4</t>
  </si>
  <si>
    <t>D11.4</t>
  </si>
  <si>
    <t>BIRD SCARFERS (MANDAYS WORK</t>
  </si>
  <si>
    <t>CUTTING OF TREES</t>
  </si>
  <si>
    <t>G10.4</t>
  </si>
  <si>
    <t>C12.4</t>
  </si>
  <si>
    <t>A3.3</t>
  </si>
  <si>
    <t>D12.2</t>
  </si>
  <si>
    <t>ACROSS BRIDGE</t>
  </si>
  <si>
    <t>TO THE FIELD</t>
  </si>
  <si>
    <t>C9.4</t>
  </si>
  <si>
    <t>PRUNING CHECKERS</t>
  </si>
  <si>
    <t>C10.3</t>
  </si>
  <si>
    <t>C12.3</t>
  </si>
  <si>
    <t>D1.3</t>
  </si>
  <si>
    <t>D1.4</t>
  </si>
  <si>
    <t>PLANTING HELPER</t>
  </si>
  <si>
    <t>F10.1</t>
  </si>
  <si>
    <t>TO OGBESE BRIDGE</t>
  </si>
  <si>
    <t>STORE SANITATION</t>
  </si>
  <si>
    <t>FERTILIZER APPLICATION(NPK 2022 )</t>
  </si>
  <si>
    <t>G10.18</t>
  </si>
  <si>
    <t>D10.4</t>
  </si>
  <si>
    <t>C11.1</t>
  </si>
  <si>
    <t>C11.2</t>
  </si>
  <si>
    <t>B10.2</t>
  </si>
  <si>
    <t>TO FIELD</t>
  </si>
  <si>
    <t>AMOUNT</t>
  </si>
  <si>
    <t>WORKER ASSIGN(MANDAYS)</t>
  </si>
  <si>
    <t>Cust_Id</t>
  </si>
  <si>
    <t>Cust_Name</t>
  </si>
  <si>
    <t>Email</t>
  </si>
  <si>
    <t>Address</t>
  </si>
  <si>
    <t>abdullahi</t>
  </si>
  <si>
    <t>harris shabir</t>
  </si>
  <si>
    <t>arhan shebnar</t>
  </si>
  <si>
    <t>muhammed musa</t>
  </si>
  <si>
    <t>shebzad ali</t>
  </si>
  <si>
    <t>shajehan abkar</t>
  </si>
  <si>
    <t>zahid zahanjir</t>
  </si>
  <si>
    <t>numan minhas</t>
  </si>
  <si>
    <t>adhan abkar</t>
  </si>
  <si>
    <t>chisom trump</t>
  </si>
  <si>
    <t>chisomtrump@gmail.com</t>
  </si>
  <si>
    <t>adhanabkar@gmail.com</t>
  </si>
  <si>
    <t>numanminhas@gmail.com</t>
  </si>
  <si>
    <t>zahidzahanjir@gmail.com</t>
  </si>
  <si>
    <t>shajehanabkar@gmail.com</t>
  </si>
  <si>
    <t>shebzadali@gmail.com</t>
  </si>
  <si>
    <t>muhammedmusa@gmail.com</t>
  </si>
  <si>
    <t>arhanshebnar@gmail.com</t>
  </si>
  <si>
    <t>harrisshabir@gmail.com</t>
  </si>
  <si>
    <t>abdullahi@gmail.com</t>
  </si>
  <si>
    <t>satelitetown main market</t>
  </si>
  <si>
    <t>popular nursery lahore</t>
  </si>
  <si>
    <t>zero point pinhi</t>
  </si>
  <si>
    <t>apo ressetlement</t>
  </si>
  <si>
    <t>maitam estate</t>
  </si>
  <si>
    <t>guzape region str</t>
  </si>
  <si>
    <t>street 6 wuse</t>
  </si>
  <si>
    <t>zone e extension</t>
  </si>
  <si>
    <t>punjab town main gt area</t>
  </si>
  <si>
    <t>garrison region portharcout</t>
  </si>
  <si>
    <t>P_code</t>
  </si>
  <si>
    <t>Products</t>
  </si>
  <si>
    <t>Cost</t>
  </si>
  <si>
    <t>Selling_price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</si>
  <si>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</si>
  <si>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</si>
  <si>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</si>
  <si>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</si>
  <si>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</si>
  <si>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</si>
  <si>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</si>
  <si>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</si>
  <si>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P1010</t>
  </si>
  <si>
    <t>Jeans</t>
  </si>
  <si>
    <t>Cotton</t>
  </si>
  <si>
    <t>Paint</t>
  </si>
  <si>
    <t>Casual shirt</t>
  </si>
  <si>
    <t>T-Shirt</t>
  </si>
  <si>
    <t>Shorts three quarter</t>
  </si>
  <si>
    <t>Track Suit</t>
  </si>
  <si>
    <t>Socks</t>
  </si>
  <si>
    <t>Polo shirt</t>
  </si>
  <si>
    <t>Pcap</t>
  </si>
  <si>
    <t>Vendor</t>
  </si>
  <si>
    <t>Phone_num</t>
  </si>
  <si>
    <t>Zahid Garmet</t>
  </si>
  <si>
    <t>Arsel Traders</t>
  </si>
  <si>
    <t>Musa Garmets</t>
  </si>
  <si>
    <t>Fashion collections</t>
  </si>
  <si>
    <t>wusa area abuja</t>
  </si>
  <si>
    <t>8 ejigbo road</t>
  </si>
  <si>
    <t>33 lagos calabar coastal area</t>
  </si>
  <si>
    <t>sector 11 main road islamdad</t>
  </si>
  <si>
    <t>Unit</t>
  </si>
  <si>
    <t>Amount</t>
  </si>
  <si>
    <t>Cust_id</t>
  </si>
  <si>
    <t>Stock(Unit)</t>
  </si>
  <si>
    <t>Selling Price</t>
  </si>
  <si>
    <t>P_units</t>
  </si>
  <si>
    <t>S_units</t>
  </si>
  <si>
    <t>Stock</t>
  </si>
  <si>
    <t>Notifications</t>
  </si>
  <si>
    <t>P1009</t>
  </si>
  <si>
    <t>Notification!</t>
  </si>
  <si>
    <t>Count of Cust_Name</t>
  </si>
  <si>
    <t>Total Customers</t>
  </si>
  <si>
    <t>Count of Products</t>
  </si>
  <si>
    <t>Total Products</t>
  </si>
  <si>
    <t>Sum of Amount</t>
  </si>
  <si>
    <t>Total Purchase</t>
  </si>
  <si>
    <t>Total Sales</t>
  </si>
  <si>
    <t>Stock Amount</t>
  </si>
  <si>
    <t>Row Labels</t>
  </si>
  <si>
    <t>Grand Total</t>
  </si>
  <si>
    <t>(blank)</t>
  </si>
  <si>
    <t>Sum of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</si>
</sst>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]d\ mmm\ yyyy;@" x16r2:formatCode16="[$-en-NG,1]d\ mmm\ yyyy;@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6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33" borderId="0" xfId="0" applyFill="1"/>
    <xf numFmtId="0" fontId="0" fillId="34" borderId="0" xfId="0" applyFill="1"/>
    <xf numFmtId="0" fontId="0" fillId="34" borderId="0" xfId="0" applyFill="1" applyAlignment="1">
      <alignment horizontal="left"/>
    </xf>
    <xf numFmtId="0" fontId="19" fillId="34" borderId="0" xfId="0" applyFont="1" applyFill="1"/>
    <xf numFmtId="0" fontId="19" fillId="33" borderId="0" xfId="0" applyFont="1" applyFill="1"/>
    <xf numFmtId="0" fontId="19" fillId="34" borderId="0" xfId="0" applyFont="1" applyFill="1" applyAlignment="1">
      <alignment horizontal="left"/>
    </xf>
    <xf numFmtId="0" fontId="18" fillId="33" borderId="0" xfId="42" applyFill="1"/>
    <xf numFmtId="167" fontId="19" fillId="33" borderId="0" xfId="0" applyNumberFormat="1" applyFont="1" applyFill="1"/>
    <xf numFmtId="0" fontId="0" fillId="35" borderId="0" xfId="0" applyFill="1"/>
    <xf numFmtId="0" fontId="20" fillId="35" borderId="0" xfId="0" applyFont="1" applyFill="1"/>
    <xf numFmtId="0" fontId="21" fillId="34" borderId="0" xfId="0" applyFont="1" applyFill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numFmt numFmtId="167" formatCode="[$]d\ mmm\ yyyy;@" x16r2:formatCode16="[$-en-NG,1]d\ mmm\ yyyy;@"/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numFmt numFmtId="167" formatCode="[$]d\ mmm\ yyyy;@" x16r2:formatCode16="[$-en-NG,1]d\ mmm\ yyyy;@"/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[operations.csv.xlsx]Pivot tables!PivotTable6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4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tables'!$G$2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tables'!$F$3:$F$7</c:f>
              <c:strCache>
                <c:ptCount val="4"/>
                <c:pt idx="0">
                  <c:v>Polo shirt</c:v>
                </c:pt>
                <c:pt idx="1">
                  <c:v>Casual shirt</c:v>
                </c:pt>
                <c:pt idx="2">
                  <c:v>Shorts three quarter</c:v>
                </c:pt>
                <c:pt idx="3">
                  <c:v>T-Shirt</c:v>
                </c:pt>
              </c:strCache>
            </c:strRef>
          </c:cat>
          <c:val>
            <c:numRef>
              <c:f>'Pivot tables'!$G$3:$G$7</c:f>
              <c:numCache>
                <c:formatCode>General</c:formatCode>
                <c:ptCount val="4"/>
                <c:pt idx="0">
                  <c:v>12600</c:v>
                </c:pt>
                <c:pt idx="1">
                  <c:v>10400</c:v>
                </c:pt>
                <c:pt idx="2">
                  <c:v>8450</c:v>
                </c:pt>
                <c:pt idx="3">
                  <c:v>6750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2B-40CB-BC44-9C4DFD0DD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2299231"/>
        <c:axId val="612292991"/>
      </c:barChart>
      <c:catAx>
        <c:axId val="612299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12292991"/>
        <c:crosses val="autoZero"/>
        <c:auto val="1"/>
        <c:lblAlgn val="ctr"/>
        <c:lblOffset val="100"/>
        <c:noMultiLvlLbl val="0"/>
      </c:catAx>
      <c:valAx>
        <c:axId val="612292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12299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[operations.csv.xlsx]Pivot tables!PivotTable7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4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tables'!$G$15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tables'!$F$16:$F$20</c:f>
              <c:strCache>
                <c:ptCount val="4"/>
                <c:pt idx="0">
                  <c:v>muhammed musa</c:v>
                </c:pt>
                <c:pt idx="1">
                  <c:v>numan minhas</c:v>
                </c:pt>
                <c:pt idx="2">
                  <c:v>harris shabir</c:v>
                </c:pt>
                <c:pt idx="3">
                  <c:v>chisom trump</c:v>
                </c:pt>
              </c:strCache>
            </c:strRef>
          </c:cat>
          <c:val>
            <c:numRef>
              <c:f>'Pivot tables'!$G$16:$G$20</c:f>
              <c:numCache>
                <c:formatCode>General</c:formatCode>
                <c:ptCount val="4"/>
                <c:pt idx="0">
                  <c:v>12600</c:v>
                </c:pt>
                <c:pt idx="1">
                  <c:v>11550</c:v>
                </c:pt>
                <c:pt idx="2">
                  <c:v>10450</c:v>
                </c:pt>
                <c:pt idx="3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AD-4F8F-A1ED-0005DF1BF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2254591"/>
        <c:axId val="612256031"/>
      </c:barChart>
      <c:catAx>
        <c:axId val="612254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12256031"/>
        <c:crosses val="autoZero"/>
        <c:auto val="1"/>
        <c:lblAlgn val="ctr"/>
        <c:lblOffset val="100"/>
        <c:noMultiLvlLbl val="0"/>
      </c:catAx>
      <c:valAx>
        <c:axId val="612256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12254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[operations.csv.xlsx]Pivot tables!PivotTable8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tables'!$K$2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tables'!$J$3:$J$14</c:f>
              <c:strCache>
                <c:ptCount val="11"/>
                <c:pt idx="0">
                  <c:v>Casual shirt</c:v>
                </c:pt>
                <c:pt idx="1">
                  <c:v>Cotton</c:v>
                </c:pt>
                <c:pt idx="2">
                  <c:v>Jeans</c:v>
                </c:pt>
                <c:pt idx="3">
                  <c:v>Paint</c:v>
                </c:pt>
                <c:pt idx="4">
                  <c:v>Pcap</c:v>
                </c:pt>
                <c:pt idx="5">
                  <c:v>Polo shirt</c:v>
                </c:pt>
                <c:pt idx="6">
                  <c:v>Shorts three quarter</c:v>
                </c:pt>
                <c:pt idx="7">
                  <c:v>Socks</c:v>
                </c:pt>
                <c:pt idx="8">
                  <c:v>Track Suit</c:v>
                </c:pt>
                <c:pt idx="9">
                  <c:v>T-Shirt</c:v>
                </c:pt>
                <c:pt idx="10">
                  <c:v>(blank)</c:v>
                </c:pt>
              </c:strCache>
            </c:strRef>
          </c:cat>
          <c:val>
            <c:numRef>
              <c:f>'Pivot tables'!$K$3:$K$14</c:f>
              <c:numCache>
                <c:formatCode>General</c:formatCode>
                <c:ptCount val="11"/>
                <c:pt idx="0">
                  <c:v>6</c:v>
                </c:pt>
                <c:pt idx="1">
                  <c:v>36</c:v>
                </c:pt>
                <c:pt idx="2">
                  <c:v>21</c:v>
                </c:pt>
                <c:pt idx="3">
                  <c:v>33</c:v>
                </c:pt>
                <c:pt idx="4">
                  <c:v>12</c:v>
                </c:pt>
                <c:pt idx="5">
                  <c:v>15</c:v>
                </c:pt>
                <c:pt idx="6">
                  <c:v>10</c:v>
                </c:pt>
                <c:pt idx="7">
                  <c:v>0</c:v>
                </c:pt>
                <c:pt idx="8">
                  <c:v>33</c:v>
                </c:pt>
                <c:pt idx="9">
                  <c:v>40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67-4286-9585-AB0C27DE4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2499439"/>
        <c:axId val="592499919"/>
      </c:barChart>
      <c:catAx>
        <c:axId val="59249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92499919"/>
        <c:crosses val="autoZero"/>
        <c:auto val="1"/>
        <c:lblAlgn val="ctr"/>
        <c:lblOffset val="100"/>
        <c:noMultiLvlLbl val="0"/>
      </c:catAx>
      <c:valAx>
        <c:axId val="59249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92499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Sale!A1"/><Relationship Id="rId13" Type="http://schemas.openxmlformats.org/officeDocument/2006/relationships/image" Target="../media/image6.svg"/><Relationship Id="rId18" Type="http://schemas.openxmlformats.org/officeDocument/2006/relationships/image" Target="../media/image11.png"/><Relationship Id="rId26" Type="http://schemas.openxmlformats.org/officeDocument/2006/relationships/chart" Target="../charts/chart3.xml"/><Relationship Id="rId3" Type="http://schemas.openxmlformats.org/officeDocument/2006/relationships/hyperlink" Target="#Dashboard!A1"/><Relationship Id="rId21" Type="http://schemas.openxmlformats.org/officeDocument/2006/relationships/image" Target="../media/image14.svg"/><Relationship Id="rId7" Type="http://schemas.openxmlformats.org/officeDocument/2006/relationships/hyperlink" Target="#Purchase!A1"/><Relationship Id="rId12" Type="http://schemas.openxmlformats.org/officeDocument/2006/relationships/image" Target="../media/image5.png"/><Relationship Id="rId17" Type="http://schemas.openxmlformats.org/officeDocument/2006/relationships/image" Target="../media/image10.svg"/><Relationship Id="rId25" Type="http://schemas.openxmlformats.org/officeDocument/2006/relationships/chart" Target="../charts/chart2.xml"/><Relationship Id="rId2" Type="http://schemas.openxmlformats.org/officeDocument/2006/relationships/image" Target="../media/image2.svg"/><Relationship Id="rId16" Type="http://schemas.openxmlformats.org/officeDocument/2006/relationships/image" Target="../media/image9.png"/><Relationship Id="rId20" Type="http://schemas.openxmlformats.org/officeDocument/2006/relationships/image" Target="../media/image13.pn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4.svg"/><Relationship Id="rId24" Type="http://schemas.openxmlformats.org/officeDocument/2006/relationships/chart" Target="../charts/chart1.xml"/><Relationship Id="rId5" Type="http://schemas.openxmlformats.org/officeDocument/2006/relationships/hyperlink" Target="#Products!A1"/><Relationship Id="rId15" Type="http://schemas.openxmlformats.org/officeDocument/2006/relationships/image" Target="../media/image8.svg"/><Relationship Id="rId23" Type="http://schemas.openxmlformats.org/officeDocument/2006/relationships/image" Target="../media/image16.svg"/><Relationship Id="rId10" Type="http://schemas.openxmlformats.org/officeDocument/2006/relationships/image" Target="../media/image3.png"/><Relationship Id="rId19" Type="http://schemas.openxmlformats.org/officeDocument/2006/relationships/image" Target="../media/image12.svg"/><Relationship Id="rId4" Type="http://schemas.openxmlformats.org/officeDocument/2006/relationships/hyperlink" Target="#Customers!A1"/><Relationship Id="rId9" Type="http://schemas.openxmlformats.org/officeDocument/2006/relationships/hyperlink" Target="#Inventory!A1"/><Relationship Id="rId14" Type="http://schemas.openxmlformats.org/officeDocument/2006/relationships/image" Target="../media/image7.png"/><Relationship Id="rId22" Type="http://schemas.openxmlformats.org/officeDocument/2006/relationships/image" Target="../media/image15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Sale!A1"/><Relationship Id="rId13" Type="http://schemas.openxmlformats.org/officeDocument/2006/relationships/image" Target="../media/image6.svg"/><Relationship Id="rId18" Type="http://schemas.openxmlformats.org/officeDocument/2006/relationships/image" Target="../media/image11.png"/><Relationship Id="rId3" Type="http://schemas.openxmlformats.org/officeDocument/2006/relationships/hyperlink" Target="#Dashboard!A1"/><Relationship Id="rId21" Type="http://schemas.openxmlformats.org/officeDocument/2006/relationships/image" Target="../media/image14.svg"/><Relationship Id="rId7" Type="http://schemas.openxmlformats.org/officeDocument/2006/relationships/hyperlink" Target="#Purchase!A1"/><Relationship Id="rId12" Type="http://schemas.openxmlformats.org/officeDocument/2006/relationships/image" Target="../media/image5.png"/><Relationship Id="rId17" Type="http://schemas.openxmlformats.org/officeDocument/2006/relationships/image" Target="../media/image10.svg"/><Relationship Id="rId2" Type="http://schemas.openxmlformats.org/officeDocument/2006/relationships/image" Target="../media/image2.svg"/><Relationship Id="rId16" Type="http://schemas.openxmlformats.org/officeDocument/2006/relationships/image" Target="../media/image9.png"/><Relationship Id="rId20" Type="http://schemas.openxmlformats.org/officeDocument/2006/relationships/image" Target="../media/image13.pn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18.svg"/><Relationship Id="rId5" Type="http://schemas.openxmlformats.org/officeDocument/2006/relationships/hyperlink" Target="#Products!A1"/><Relationship Id="rId15" Type="http://schemas.openxmlformats.org/officeDocument/2006/relationships/image" Target="../media/image20.svg"/><Relationship Id="rId23" Type="http://schemas.openxmlformats.org/officeDocument/2006/relationships/image" Target="../media/image16.svg"/><Relationship Id="rId10" Type="http://schemas.openxmlformats.org/officeDocument/2006/relationships/image" Target="../media/image17.png"/><Relationship Id="rId19" Type="http://schemas.openxmlformats.org/officeDocument/2006/relationships/image" Target="../media/image12.svg"/><Relationship Id="rId4" Type="http://schemas.openxmlformats.org/officeDocument/2006/relationships/hyperlink" Target="#Customers!A1"/><Relationship Id="rId9" Type="http://schemas.openxmlformats.org/officeDocument/2006/relationships/hyperlink" Target="#Inventory!A1"/><Relationship Id="rId14" Type="http://schemas.openxmlformats.org/officeDocument/2006/relationships/image" Target="../media/image19.png"/><Relationship Id="rId22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Sale!A1"/><Relationship Id="rId13" Type="http://schemas.openxmlformats.org/officeDocument/2006/relationships/image" Target="../media/image6.svg"/><Relationship Id="rId18" Type="http://schemas.openxmlformats.org/officeDocument/2006/relationships/image" Target="../media/image11.png"/><Relationship Id="rId3" Type="http://schemas.openxmlformats.org/officeDocument/2006/relationships/hyperlink" Target="#Dashboard!A1"/><Relationship Id="rId21" Type="http://schemas.openxmlformats.org/officeDocument/2006/relationships/image" Target="../media/image14.svg"/><Relationship Id="rId7" Type="http://schemas.openxmlformats.org/officeDocument/2006/relationships/hyperlink" Target="#Purchase!A1"/><Relationship Id="rId12" Type="http://schemas.openxmlformats.org/officeDocument/2006/relationships/image" Target="../media/image5.png"/><Relationship Id="rId17" Type="http://schemas.openxmlformats.org/officeDocument/2006/relationships/image" Target="../media/image22.svg"/><Relationship Id="rId2" Type="http://schemas.openxmlformats.org/officeDocument/2006/relationships/image" Target="../media/image2.svg"/><Relationship Id="rId16" Type="http://schemas.openxmlformats.org/officeDocument/2006/relationships/image" Target="../media/image21.png"/><Relationship Id="rId20" Type="http://schemas.openxmlformats.org/officeDocument/2006/relationships/image" Target="../media/image13.pn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4.svg"/><Relationship Id="rId5" Type="http://schemas.openxmlformats.org/officeDocument/2006/relationships/hyperlink" Target="#Products!A1"/><Relationship Id="rId15" Type="http://schemas.openxmlformats.org/officeDocument/2006/relationships/image" Target="../media/image20.svg"/><Relationship Id="rId23" Type="http://schemas.openxmlformats.org/officeDocument/2006/relationships/image" Target="../media/image16.svg"/><Relationship Id="rId10" Type="http://schemas.openxmlformats.org/officeDocument/2006/relationships/image" Target="../media/image3.png"/><Relationship Id="rId19" Type="http://schemas.openxmlformats.org/officeDocument/2006/relationships/image" Target="../media/image12.svg"/><Relationship Id="rId4" Type="http://schemas.openxmlformats.org/officeDocument/2006/relationships/hyperlink" Target="#Customers!A1"/><Relationship Id="rId9" Type="http://schemas.openxmlformats.org/officeDocument/2006/relationships/hyperlink" Target="#Inventory!A1"/><Relationship Id="rId14" Type="http://schemas.openxmlformats.org/officeDocument/2006/relationships/image" Target="../media/image19.png"/><Relationship Id="rId22" Type="http://schemas.openxmlformats.org/officeDocument/2006/relationships/image" Target="../media/image15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Sale!A1"/><Relationship Id="rId13" Type="http://schemas.openxmlformats.org/officeDocument/2006/relationships/image" Target="../media/image24.svg"/><Relationship Id="rId18" Type="http://schemas.openxmlformats.org/officeDocument/2006/relationships/image" Target="../media/image11.png"/><Relationship Id="rId3" Type="http://schemas.openxmlformats.org/officeDocument/2006/relationships/hyperlink" Target="#Dashboard!A1"/><Relationship Id="rId21" Type="http://schemas.openxmlformats.org/officeDocument/2006/relationships/image" Target="../media/image14.svg"/><Relationship Id="rId7" Type="http://schemas.openxmlformats.org/officeDocument/2006/relationships/hyperlink" Target="#Purchase!A1"/><Relationship Id="rId12" Type="http://schemas.openxmlformats.org/officeDocument/2006/relationships/image" Target="../media/image23.png"/><Relationship Id="rId17" Type="http://schemas.openxmlformats.org/officeDocument/2006/relationships/image" Target="../media/image10.svg"/><Relationship Id="rId2" Type="http://schemas.openxmlformats.org/officeDocument/2006/relationships/image" Target="../media/image2.svg"/><Relationship Id="rId16" Type="http://schemas.openxmlformats.org/officeDocument/2006/relationships/image" Target="../media/image9.png"/><Relationship Id="rId20" Type="http://schemas.openxmlformats.org/officeDocument/2006/relationships/image" Target="../media/image13.pn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4.svg"/><Relationship Id="rId5" Type="http://schemas.openxmlformats.org/officeDocument/2006/relationships/hyperlink" Target="#Products!A1"/><Relationship Id="rId15" Type="http://schemas.openxmlformats.org/officeDocument/2006/relationships/image" Target="../media/image20.svg"/><Relationship Id="rId23" Type="http://schemas.openxmlformats.org/officeDocument/2006/relationships/image" Target="../media/image16.svg"/><Relationship Id="rId10" Type="http://schemas.openxmlformats.org/officeDocument/2006/relationships/image" Target="../media/image3.png"/><Relationship Id="rId19" Type="http://schemas.openxmlformats.org/officeDocument/2006/relationships/image" Target="../media/image12.svg"/><Relationship Id="rId4" Type="http://schemas.openxmlformats.org/officeDocument/2006/relationships/hyperlink" Target="#Customers!A1"/><Relationship Id="rId9" Type="http://schemas.openxmlformats.org/officeDocument/2006/relationships/hyperlink" Target="#Inventory!A1"/><Relationship Id="rId14" Type="http://schemas.openxmlformats.org/officeDocument/2006/relationships/image" Target="../media/image19.png"/><Relationship Id="rId22" Type="http://schemas.openxmlformats.org/officeDocument/2006/relationships/image" Target="../media/image15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Sale!A1"/><Relationship Id="rId13" Type="http://schemas.openxmlformats.org/officeDocument/2006/relationships/image" Target="../media/image6.svg"/><Relationship Id="rId18" Type="http://schemas.openxmlformats.org/officeDocument/2006/relationships/image" Target="../media/image25.png"/><Relationship Id="rId3" Type="http://schemas.openxmlformats.org/officeDocument/2006/relationships/hyperlink" Target="#Dashboard!A1"/><Relationship Id="rId21" Type="http://schemas.openxmlformats.org/officeDocument/2006/relationships/image" Target="../media/image14.svg"/><Relationship Id="rId7" Type="http://schemas.openxmlformats.org/officeDocument/2006/relationships/hyperlink" Target="#Purchase!A1"/><Relationship Id="rId12" Type="http://schemas.openxmlformats.org/officeDocument/2006/relationships/image" Target="../media/image5.png"/><Relationship Id="rId17" Type="http://schemas.openxmlformats.org/officeDocument/2006/relationships/image" Target="../media/image10.svg"/><Relationship Id="rId2" Type="http://schemas.openxmlformats.org/officeDocument/2006/relationships/image" Target="../media/image2.svg"/><Relationship Id="rId16" Type="http://schemas.openxmlformats.org/officeDocument/2006/relationships/image" Target="../media/image9.png"/><Relationship Id="rId20" Type="http://schemas.openxmlformats.org/officeDocument/2006/relationships/image" Target="../media/image13.pn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4.svg"/><Relationship Id="rId5" Type="http://schemas.openxmlformats.org/officeDocument/2006/relationships/hyperlink" Target="#Products!A1"/><Relationship Id="rId15" Type="http://schemas.openxmlformats.org/officeDocument/2006/relationships/image" Target="../media/image20.svg"/><Relationship Id="rId23" Type="http://schemas.openxmlformats.org/officeDocument/2006/relationships/image" Target="../media/image16.svg"/><Relationship Id="rId10" Type="http://schemas.openxmlformats.org/officeDocument/2006/relationships/image" Target="../media/image3.png"/><Relationship Id="rId19" Type="http://schemas.openxmlformats.org/officeDocument/2006/relationships/image" Target="../media/image26.svg"/><Relationship Id="rId4" Type="http://schemas.openxmlformats.org/officeDocument/2006/relationships/hyperlink" Target="#Customers!A1"/><Relationship Id="rId9" Type="http://schemas.openxmlformats.org/officeDocument/2006/relationships/hyperlink" Target="#Inventory!A1"/><Relationship Id="rId14" Type="http://schemas.openxmlformats.org/officeDocument/2006/relationships/image" Target="../media/image19.png"/><Relationship Id="rId22" Type="http://schemas.openxmlformats.org/officeDocument/2006/relationships/image" Target="../media/image15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Sale!A1"/><Relationship Id="rId13" Type="http://schemas.openxmlformats.org/officeDocument/2006/relationships/image" Target="../media/image6.svg"/><Relationship Id="rId18" Type="http://schemas.openxmlformats.org/officeDocument/2006/relationships/image" Target="../media/image11.png"/><Relationship Id="rId3" Type="http://schemas.openxmlformats.org/officeDocument/2006/relationships/hyperlink" Target="#Dashboard!A1"/><Relationship Id="rId21" Type="http://schemas.openxmlformats.org/officeDocument/2006/relationships/image" Target="../media/image28.svg"/><Relationship Id="rId7" Type="http://schemas.openxmlformats.org/officeDocument/2006/relationships/hyperlink" Target="#Purchase!A1"/><Relationship Id="rId12" Type="http://schemas.openxmlformats.org/officeDocument/2006/relationships/image" Target="../media/image5.png"/><Relationship Id="rId17" Type="http://schemas.openxmlformats.org/officeDocument/2006/relationships/image" Target="../media/image10.svg"/><Relationship Id="rId2" Type="http://schemas.openxmlformats.org/officeDocument/2006/relationships/image" Target="../media/image2.svg"/><Relationship Id="rId16" Type="http://schemas.openxmlformats.org/officeDocument/2006/relationships/image" Target="../media/image9.png"/><Relationship Id="rId20" Type="http://schemas.openxmlformats.org/officeDocument/2006/relationships/image" Target="../media/image27.pn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4.svg"/><Relationship Id="rId5" Type="http://schemas.openxmlformats.org/officeDocument/2006/relationships/hyperlink" Target="#Products!A1"/><Relationship Id="rId15" Type="http://schemas.openxmlformats.org/officeDocument/2006/relationships/image" Target="../media/image20.svg"/><Relationship Id="rId23" Type="http://schemas.openxmlformats.org/officeDocument/2006/relationships/image" Target="../media/image16.svg"/><Relationship Id="rId10" Type="http://schemas.openxmlformats.org/officeDocument/2006/relationships/image" Target="../media/image3.png"/><Relationship Id="rId19" Type="http://schemas.openxmlformats.org/officeDocument/2006/relationships/image" Target="../media/image12.svg"/><Relationship Id="rId4" Type="http://schemas.openxmlformats.org/officeDocument/2006/relationships/hyperlink" Target="#Customers!A1"/><Relationship Id="rId9" Type="http://schemas.openxmlformats.org/officeDocument/2006/relationships/hyperlink" Target="#Inventory!A1"/><Relationship Id="rId14" Type="http://schemas.openxmlformats.org/officeDocument/2006/relationships/image" Target="../media/image19.png"/><Relationship Id="rId22" Type="http://schemas.openxmlformats.org/officeDocument/2006/relationships/image" Target="../media/image15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Sale!A1"/><Relationship Id="rId13" Type="http://schemas.openxmlformats.org/officeDocument/2006/relationships/image" Target="../media/image6.svg"/><Relationship Id="rId18" Type="http://schemas.openxmlformats.org/officeDocument/2006/relationships/image" Target="../media/image11.png"/><Relationship Id="rId3" Type="http://schemas.openxmlformats.org/officeDocument/2006/relationships/hyperlink" Target="#Dashboard!A1"/><Relationship Id="rId21" Type="http://schemas.openxmlformats.org/officeDocument/2006/relationships/image" Target="../media/image14.svg"/><Relationship Id="rId7" Type="http://schemas.openxmlformats.org/officeDocument/2006/relationships/hyperlink" Target="#Purchase!A1"/><Relationship Id="rId12" Type="http://schemas.openxmlformats.org/officeDocument/2006/relationships/image" Target="../media/image5.png"/><Relationship Id="rId17" Type="http://schemas.openxmlformats.org/officeDocument/2006/relationships/image" Target="../media/image10.svg"/><Relationship Id="rId2" Type="http://schemas.openxmlformats.org/officeDocument/2006/relationships/image" Target="../media/image2.svg"/><Relationship Id="rId16" Type="http://schemas.openxmlformats.org/officeDocument/2006/relationships/image" Target="../media/image9.png"/><Relationship Id="rId20" Type="http://schemas.openxmlformats.org/officeDocument/2006/relationships/image" Target="../media/image13.pn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4.svg"/><Relationship Id="rId5" Type="http://schemas.openxmlformats.org/officeDocument/2006/relationships/hyperlink" Target="#Products!A1"/><Relationship Id="rId15" Type="http://schemas.openxmlformats.org/officeDocument/2006/relationships/image" Target="../media/image20.svg"/><Relationship Id="rId23" Type="http://schemas.openxmlformats.org/officeDocument/2006/relationships/image" Target="../media/image30.svg"/><Relationship Id="rId10" Type="http://schemas.openxmlformats.org/officeDocument/2006/relationships/image" Target="../media/image3.png"/><Relationship Id="rId19" Type="http://schemas.openxmlformats.org/officeDocument/2006/relationships/image" Target="../media/image12.svg"/><Relationship Id="rId4" Type="http://schemas.openxmlformats.org/officeDocument/2006/relationships/hyperlink" Target="#Customers!A1"/><Relationship Id="rId9" Type="http://schemas.openxmlformats.org/officeDocument/2006/relationships/hyperlink" Target="#Inventory!A1"/><Relationship Id="rId14" Type="http://schemas.openxmlformats.org/officeDocument/2006/relationships/image" Target="../media/image19.png"/><Relationship Id="rId22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790575</xdr:colOff>
      <xdr:row>0</xdr:row>
      <xdr:rowOff>28575</xdr:rowOff>
    </xdr:from>
    <xdr:to>
      <xdr:col>1</xdr:col>
      <xdr:colOff>1704975</xdr:colOff>
      <xdr:row>3</xdr:row>
      <xdr:rowOff>200025</xdr:rowOff>
    </xdr:to>
    <xdr:pic>
      <xdr:nvPicPr>
        <xdr:cNvPr id="3" name="Graphic 2" descr="Bank with solid fill">
          <a:extLst>
            <a:ext uri="{FF2B5EF4-FFF2-40B4-BE49-F238E27FC236}">
              <a16:creationId xmlns:a16="http://schemas.microsoft.com/office/drawing/2014/main" id="{1A3837AE-D3D9-EC5B-EF57-DD3FA878A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19175" y="28575"/>
          <a:ext cx="914400" cy="914400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3</xdr:row>
      <xdr:rowOff>95250</xdr:rowOff>
    </xdr:from>
    <xdr:to>
      <xdr:col>1</xdr:col>
      <xdr:colOff>2200275</xdr:colOff>
      <xdr:row>5</xdr:row>
      <xdr:rowOff>209550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6DC1C75-FB79-9768-EFEF-D98E8AEAAA8C}"/>
            </a:ext>
          </a:extLst>
        </xdr:cNvPr>
        <xdr:cNvSpPr/>
      </xdr:nvSpPr>
      <xdr:spPr>
        <a:xfrm>
          <a:off x="76200" y="838200"/>
          <a:ext cx="2352675" cy="609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>
              <a:solidFill>
                <a:schemeClr val="tx1"/>
              </a:solidFill>
            </a:rPr>
            <a:t>Inventory</a:t>
          </a:r>
          <a:r>
            <a:rPr lang="en-GB" sz="1400" baseline="0">
              <a:solidFill>
                <a:schemeClr val="tx1"/>
              </a:solidFill>
            </a:rPr>
            <a:t> </a:t>
          </a:r>
          <a:r>
            <a:rPr lang="en-GB" sz="1600" baseline="0">
              <a:solidFill>
                <a:schemeClr val="tx1"/>
              </a:solidFill>
            </a:rPr>
            <a:t>Management</a:t>
          </a:r>
          <a:r>
            <a:rPr lang="en-GB" sz="1400" baseline="0">
              <a:solidFill>
                <a:schemeClr val="tx1"/>
              </a:solidFill>
            </a:rPr>
            <a:t> system</a:t>
          </a:r>
          <a:endParaRPr lang="en-NG" sz="14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76202</xdr:colOff>
      <xdr:row>7</xdr:row>
      <xdr:rowOff>95250</xdr:rowOff>
    </xdr:from>
    <xdr:to>
      <xdr:col>1</xdr:col>
      <xdr:colOff>1266826</xdr:colOff>
      <xdr:row>8</xdr:row>
      <xdr:rowOff>190500</xdr:rowOff>
    </xdr:to>
    <xdr:sp macro="" textlink="">
      <xdr:nvSpPr>
        <xdr:cNvPr id="5" name="Rectang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9EFB822-E641-1C51-6E3C-80918398A874}"/>
            </a:ext>
          </a:extLst>
        </xdr:cNvPr>
        <xdr:cNvSpPr/>
      </xdr:nvSpPr>
      <xdr:spPr>
        <a:xfrm>
          <a:off x="304802" y="1828800"/>
          <a:ext cx="1190624" cy="3429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GB" sz="1600" b="1">
              <a:solidFill>
                <a:schemeClr val="tx1"/>
              </a:solidFill>
              <a:latin typeface="+mn-lt"/>
              <a:ea typeface="+mn-ea"/>
              <a:cs typeface="+mn-cs"/>
            </a:rPr>
            <a:t>Dashboard</a:t>
          </a:r>
          <a:endParaRPr lang="en-NG" sz="16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85726</xdr:colOff>
      <xdr:row>8</xdr:row>
      <xdr:rowOff>242888</xdr:rowOff>
    </xdr:from>
    <xdr:to>
      <xdr:col>1</xdr:col>
      <xdr:colOff>1247775</xdr:colOff>
      <xdr:row>10</xdr:row>
      <xdr:rowOff>90488</xdr:rowOff>
    </xdr:to>
    <xdr:sp macro="" textlink="">
      <xdr:nvSpPr>
        <xdr:cNvPr id="6" name="Rectangle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75950A9-4503-84F7-9C2E-549BDD0CF1A0}"/>
            </a:ext>
          </a:extLst>
        </xdr:cNvPr>
        <xdr:cNvSpPr/>
      </xdr:nvSpPr>
      <xdr:spPr>
        <a:xfrm>
          <a:off x="314326" y="2224088"/>
          <a:ext cx="1162049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  <a:endParaRPr lang="en-NG" sz="16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47626</xdr:colOff>
      <xdr:row>10</xdr:row>
      <xdr:rowOff>142875</xdr:rowOff>
    </xdr:from>
    <xdr:to>
      <xdr:col>1</xdr:col>
      <xdr:colOff>1152525</xdr:colOff>
      <xdr:row>11</xdr:row>
      <xdr:rowOff>238125</xdr:rowOff>
    </xdr:to>
    <xdr:sp macro="" textlink="">
      <xdr:nvSpPr>
        <xdr:cNvPr id="7" name="Rectangle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811DB43-34F9-D174-0CB3-044919132AC3}"/>
            </a:ext>
          </a:extLst>
        </xdr:cNvPr>
        <xdr:cNvSpPr/>
      </xdr:nvSpPr>
      <xdr:spPr>
        <a:xfrm>
          <a:off x="276226" y="2619375"/>
          <a:ext cx="1104899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  <a:endParaRPr lang="en-NG" sz="16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76201</xdr:colOff>
      <xdr:row>12</xdr:row>
      <xdr:rowOff>42862</xdr:rowOff>
    </xdr:from>
    <xdr:to>
      <xdr:col>1</xdr:col>
      <xdr:colOff>1181100</xdr:colOff>
      <xdr:row>13</xdr:row>
      <xdr:rowOff>138112</xdr:rowOff>
    </xdr:to>
    <xdr:sp macro="" textlink="">
      <xdr:nvSpPr>
        <xdr:cNvPr id="8" name="Rectangle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0C457E7-AEE9-F5CC-3948-D02952D1C00B}"/>
            </a:ext>
          </a:extLst>
        </xdr:cNvPr>
        <xdr:cNvSpPr/>
      </xdr:nvSpPr>
      <xdr:spPr>
        <a:xfrm>
          <a:off x="304801" y="3014662"/>
          <a:ext cx="1104899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  <a:endParaRPr lang="en-NG" sz="16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104776</xdr:colOff>
      <xdr:row>13</xdr:row>
      <xdr:rowOff>190500</xdr:rowOff>
    </xdr:from>
    <xdr:to>
      <xdr:col>1</xdr:col>
      <xdr:colOff>1095375</xdr:colOff>
      <xdr:row>15</xdr:row>
      <xdr:rowOff>38100</xdr:rowOff>
    </xdr:to>
    <xdr:sp macro="" textlink="">
      <xdr:nvSpPr>
        <xdr:cNvPr id="9" name="Rectangle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A371C54-2133-71E5-7627-047CE0C25EC7}"/>
            </a:ext>
          </a:extLst>
        </xdr:cNvPr>
        <xdr:cNvSpPr/>
      </xdr:nvSpPr>
      <xdr:spPr>
        <a:xfrm>
          <a:off x="333376" y="3409950"/>
          <a:ext cx="990599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  <a:endParaRPr lang="en-NG" sz="16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66676</xdr:colOff>
      <xdr:row>15</xdr:row>
      <xdr:rowOff>90487</xdr:rowOff>
    </xdr:from>
    <xdr:to>
      <xdr:col>1</xdr:col>
      <xdr:colOff>1038225</xdr:colOff>
      <xdr:row>16</xdr:row>
      <xdr:rowOff>185737</xdr:rowOff>
    </xdr:to>
    <xdr:sp macro="" textlink="">
      <xdr:nvSpPr>
        <xdr:cNvPr id="10" name="Rectangle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43FEF51-83F8-0C6C-76BA-CC47A9ED2686}"/>
            </a:ext>
          </a:extLst>
        </xdr:cNvPr>
        <xdr:cNvSpPr/>
      </xdr:nvSpPr>
      <xdr:spPr>
        <a:xfrm>
          <a:off x="295276" y="3805237"/>
          <a:ext cx="971549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tx1">
                  <a:lumMod val="50000"/>
                  <a:lumOff val="50000"/>
                </a:schemeClr>
              </a:solidFill>
            </a:rPr>
            <a:t>Sale</a:t>
          </a:r>
          <a:endParaRPr lang="en-NG" sz="16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85726</xdr:colOff>
      <xdr:row>16</xdr:row>
      <xdr:rowOff>238125</xdr:rowOff>
    </xdr:from>
    <xdr:to>
      <xdr:col>1</xdr:col>
      <xdr:colOff>1095375</xdr:colOff>
      <xdr:row>18</xdr:row>
      <xdr:rowOff>85725</xdr:rowOff>
    </xdr:to>
    <xdr:sp macro="" textlink="">
      <xdr:nvSpPr>
        <xdr:cNvPr id="11" name="Rectangle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D163B34-B6E4-D5AA-6F26-5992DFA1F05B}"/>
            </a:ext>
          </a:extLst>
        </xdr:cNvPr>
        <xdr:cNvSpPr/>
      </xdr:nvSpPr>
      <xdr:spPr>
        <a:xfrm>
          <a:off x="314326" y="4200525"/>
          <a:ext cx="1009649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  <a:endParaRPr lang="en-NG" sz="16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 editAs="oneCell">
    <xdr:from>
      <xdr:col>1</xdr:col>
      <xdr:colOff>1519985</xdr:colOff>
      <xdr:row>8</xdr:row>
      <xdr:rowOff>243510</xdr:rowOff>
    </xdr:from>
    <xdr:to>
      <xdr:col>1</xdr:col>
      <xdr:colOff>1879985</xdr:colOff>
      <xdr:row>10</xdr:row>
      <xdr:rowOff>108210</xdr:rowOff>
    </xdr:to>
    <xdr:pic>
      <xdr:nvPicPr>
        <xdr:cNvPr id="19" name="Graphic 18" descr="Customer review with solid fill">
          <a:extLst>
            <a:ext uri="{FF2B5EF4-FFF2-40B4-BE49-F238E27FC236}">
              <a16:creationId xmlns:a16="http://schemas.microsoft.com/office/drawing/2014/main" id="{5B87BA2E-EA77-E299-09F9-0050A6D02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748585" y="2224710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1519985</xdr:colOff>
      <xdr:row>12</xdr:row>
      <xdr:rowOff>40285</xdr:rowOff>
    </xdr:from>
    <xdr:to>
      <xdr:col>1</xdr:col>
      <xdr:colOff>1879985</xdr:colOff>
      <xdr:row>13</xdr:row>
      <xdr:rowOff>152635</xdr:rowOff>
    </xdr:to>
    <xdr:pic>
      <xdr:nvPicPr>
        <xdr:cNvPr id="21" name="Graphic 20" descr="User with solid fill">
          <a:extLst>
            <a:ext uri="{FF2B5EF4-FFF2-40B4-BE49-F238E27FC236}">
              <a16:creationId xmlns:a16="http://schemas.microsoft.com/office/drawing/2014/main" id="{965B2756-099F-F7DF-60CA-338D5238B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748585" y="3012085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1558085</xdr:colOff>
      <xdr:row>7</xdr:row>
      <xdr:rowOff>145098</xdr:rowOff>
    </xdr:from>
    <xdr:to>
      <xdr:col>1</xdr:col>
      <xdr:colOff>1918085</xdr:colOff>
      <xdr:row>9</xdr:row>
      <xdr:rowOff>9798</xdr:rowOff>
    </xdr:to>
    <xdr:pic>
      <xdr:nvPicPr>
        <xdr:cNvPr id="23" name="Graphic 22" descr="Gauge with solid fill">
          <a:extLst>
            <a:ext uri="{FF2B5EF4-FFF2-40B4-BE49-F238E27FC236}">
              <a16:creationId xmlns:a16="http://schemas.microsoft.com/office/drawing/2014/main" id="{E50B55EA-71C0-DAE7-A67E-5DB0AA22B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1786685" y="1878648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1519985</xdr:colOff>
      <xdr:row>10</xdr:row>
      <xdr:rowOff>141897</xdr:rowOff>
    </xdr:from>
    <xdr:to>
      <xdr:col>1</xdr:col>
      <xdr:colOff>1879985</xdr:colOff>
      <xdr:row>12</xdr:row>
      <xdr:rowOff>6597</xdr:rowOff>
    </xdr:to>
    <xdr:pic>
      <xdr:nvPicPr>
        <xdr:cNvPr id="25" name="Graphic 24" descr="Inventory with solid fill">
          <a:extLst>
            <a:ext uri="{FF2B5EF4-FFF2-40B4-BE49-F238E27FC236}">
              <a16:creationId xmlns:a16="http://schemas.microsoft.com/office/drawing/2014/main" id="{32DCDE68-8FCD-A871-B583-D4BD7F104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1748585" y="2618397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1519985</xdr:colOff>
      <xdr:row>13</xdr:row>
      <xdr:rowOff>186322</xdr:rowOff>
    </xdr:from>
    <xdr:to>
      <xdr:col>1</xdr:col>
      <xdr:colOff>1879985</xdr:colOff>
      <xdr:row>15</xdr:row>
      <xdr:rowOff>51022</xdr:rowOff>
    </xdr:to>
    <xdr:pic>
      <xdr:nvPicPr>
        <xdr:cNvPr id="27" name="Graphic 26" descr="Kiosk with solid fill">
          <a:extLst>
            <a:ext uri="{FF2B5EF4-FFF2-40B4-BE49-F238E27FC236}">
              <a16:creationId xmlns:a16="http://schemas.microsoft.com/office/drawing/2014/main" id="{EBE82E9D-D830-1146-8F94-CD7A7BDD9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1748585" y="3405772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1519985</xdr:colOff>
      <xdr:row>15</xdr:row>
      <xdr:rowOff>84709</xdr:rowOff>
    </xdr:from>
    <xdr:to>
      <xdr:col>1</xdr:col>
      <xdr:colOff>1879985</xdr:colOff>
      <xdr:row>16</xdr:row>
      <xdr:rowOff>197059</xdr:rowOff>
    </xdr:to>
    <xdr:pic>
      <xdr:nvPicPr>
        <xdr:cNvPr id="29" name="Graphic 28" descr="Shopping cart with solid fill">
          <a:extLst>
            <a:ext uri="{FF2B5EF4-FFF2-40B4-BE49-F238E27FC236}">
              <a16:creationId xmlns:a16="http://schemas.microsoft.com/office/drawing/2014/main" id="{33262C8A-7450-C411-464B-BFC948CAF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1748585" y="3799459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1519985</xdr:colOff>
      <xdr:row>16</xdr:row>
      <xdr:rowOff>230748</xdr:rowOff>
    </xdr:from>
    <xdr:to>
      <xdr:col>1</xdr:col>
      <xdr:colOff>1879985</xdr:colOff>
      <xdr:row>18</xdr:row>
      <xdr:rowOff>95448</xdr:rowOff>
    </xdr:to>
    <xdr:pic>
      <xdr:nvPicPr>
        <xdr:cNvPr id="31" name="Graphic 30" descr="Clipboard Checked with solid fill">
          <a:extLst>
            <a:ext uri="{FF2B5EF4-FFF2-40B4-BE49-F238E27FC236}">
              <a16:creationId xmlns:a16="http://schemas.microsoft.com/office/drawing/2014/main" id="{02DB251B-0D21-17A6-3FCC-4090B55DA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1748585" y="4193148"/>
          <a:ext cx="360000" cy="360000"/>
        </a:xfrm>
        <a:prstGeom prst="rect">
          <a:avLst/>
        </a:prstGeom>
      </xdr:spPr>
    </xdr:pic>
    <xdr:clientData/>
  </xdr:twoCellAnchor>
  <xdr:twoCellAnchor editAs="absolute">
    <xdr:from>
      <xdr:col>2</xdr:col>
      <xdr:colOff>28575</xdr:colOff>
      <xdr:row>0</xdr:row>
      <xdr:rowOff>28576</xdr:rowOff>
    </xdr:from>
    <xdr:to>
      <xdr:col>20</xdr:col>
      <xdr:colOff>28575</xdr:colOff>
      <xdr:row>1</xdr:row>
      <xdr:rowOff>200026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5BF74985-D5D9-9A5C-396D-59D4AC3E7CE1}"/>
            </a:ext>
          </a:extLst>
        </xdr:cNvPr>
        <xdr:cNvSpPr/>
      </xdr:nvSpPr>
      <xdr:spPr>
        <a:xfrm>
          <a:off x="2667000" y="28576"/>
          <a:ext cx="10448925" cy="4191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>
              <a:solidFill>
                <a:schemeClr val="tx1"/>
              </a:solidFill>
            </a:rPr>
            <a:t>                                         Inventory</a:t>
          </a:r>
          <a:r>
            <a:rPr lang="en-GB" sz="1400" baseline="0">
              <a:solidFill>
                <a:schemeClr val="tx1"/>
              </a:solidFill>
            </a:rPr>
            <a:t> </a:t>
          </a:r>
          <a:r>
            <a:rPr lang="en-GB" sz="1600" baseline="0">
              <a:solidFill>
                <a:schemeClr val="tx1"/>
              </a:solidFill>
            </a:rPr>
            <a:t>Management</a:t>
          </a:r>
          <a:r>
            <a:rPr lang="en-GB" sz="1400" baseline="0">
              <a:solidFill>
                <a:schemeClr val="tx1"/>
              </a:solidFill>
            </a:rPr>
            <a:t> system</a:t>
          </a:r>
          <a:endParaRPr lang="en-NG" sz="14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76200</xdr:colOff>
      <xdr:row>6</xdr:row>
      <xdr:rowOff>80963</xdr:rowOff>
    </xdr:from>
    <xdr:to>
      <xdr:col>8</xdr:col>
      <xdr:colOff>581025</xdr:colOff>
      <xdr:row>15</xdr:row>
      <xdr:rowOff>104776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89676772-E08A-48D5-A387-E3E6C19E75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9</xdr:col>
      <xdr:colOff>95251</xdr:colOff>
      <xdr:row>6</xdr:row>
      <xdr:rowOff>111919</xdr:rowOff>
    </xdr:from>
    <xdr:to>
      <xdr:col>14</xdr:col>
      <xdr:colOff>495301</xdr:colOff>
      <xdr:row>15</xdr:row>
      <xdr:rowOff>73819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D802F43A-6DCB-417B-BAD8-1172C11CD2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</xdr:col>
      <xdr:colOff>114299</xdr:colOff>
      <xdr:row>15</xdr:row>
      <xdr:rowOff>190500</xdr:rowOff>
    </xdr:from>
    <xdr:to>
      <xdr:col>14</xdr:col>
      <xdr:colOff>447674</xdr:colOff>
      <xdr:row>26</xdr:row>
      <xdr:rowOff>209550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B77F36A6-25A3-4506-B877-6FFFF57452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790575</xdr:colOff>
      <xdr:row>0</xdr:row>
      <xdr:rowOff>28575</xdr:rowOff>
    </xdr:from>
    <xdr:to>
      <xdr:col>1</xdr:col>
      <xdr:colOff>1704975</xdr:colOff>
      <xdr:row>3</xdr:row>
      <xdr:rowOff>200025</xdr:rowOff>
    </xdr:to>
    <xdr:pic>
      <xdr:nvPicPr>
        <xdr:cNvPr id="2" name="Graphic 1" descr="Bank with solid fill">
          <a:extLst>
            <a:ext uri="{FF2B5EF4-FFF2-40B4-BE49-F238E27FC236}">
              <a16:creationId xmlns:a16="http://schemas.microsoft.com/office/drawing/2014/main" id="{C50DE725-A837-4C7B-B92D-7056FD226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19175" y="28575"/>
          <a:ext cx="914400" cy="914400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3</xdr:row>
      <xdr:rowOff>95250</xdr:rowOff>
    </xdr:from>
    <xdr:to>
      <xdr:col>1</xdr:col>
      <xdr:colOff>2200275</xdr:colOff>
      <xdr:row>5</xdr:row>
      <xdr:rowOff>209550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C2DFA79-BC09-4704-BDBF-61B94FEA4F7C}"/>
            </a:ext>
          </a:extLst>
        </xdr:cNvPr>
        <xdr:cNvSpPr/>
      </xdr:nvSpPr>
      <xdr:spPr>
        <a:xfrm>
          <a:off x="76200" y="838200"/>
          <a:ext cx="2352675" cy="609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>
              <a:solidFill>
                <a:schemeClr val="tx1"/>
              </a:solidFill>
            </a:rPr>
            <a:t>Inventory</a:t>
          </a:r>
          <a:r>
            <a:rPr lang="en-GB" sz="1400" baseline="0">
              <a:solidFill>
                <a:schemeClr val="tx1"/>
              </a:solidFill>
            </a:rPr>
            <a:t> </a:t>
          </a:r>
          <a:r>
            <a:rPr lang="en-GB" sz="1600" baseline="0">
              <a:solidFill>
                <a:schemeClr val="tx1"/>
              </a:solidFill>
            </a:rPr>
            <a:t>Management</a:t>
          </a:r>
          <a:r>
            <a:rPr lang="en-GB" sz="1400" baseline="0">
              <a:solidFill>
                <a:schemeClr val="tx1"/>
              </a:solidFill>
            </a:rPr>
            <a:t> system</a:t>
          </a:r>
          <a:endParaRPr lang="en-NG" sz="14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76202</xdr:colOff>
      <xdr:row>7</xdr:row>
      <xdr:rowOff>95250</xdr:rowOff>
    </xdr:from>
    <xdr:to>
      <xdr:col>1</xdr:col>
      <xdr:colOff>1266826</xdr:colOff>
      <xdr:row>8</xdr:row>
      <xdr:rowOff>190500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C99D57E-D191-48E7-B56C-17D48B8EADE6}"/>
            </a:ext>
          </a:extLst>
        </xdr:cNvPr>
        <xdr:cNvSpPr/>
      </xdr:nvSpPr>
      <xdr:spPr>
        <a:xfrm>
          <a:off x="304802" y="1828800"/>
          <a:ext cx="1190624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GB" sz="16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Dashboard</a:t>
          </a:r>
          <a:endParaRPr lang="en-NG" sz="1600" b="1">
            <a:solidFill>
              <a:schemeClr val="tx1">
                <a:lumMod val="50000"/>
                <a:lumOff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85726</xdr:colOff>
      <xdr:row>8</xdr:row>
      <xdr:rowOff>242888</xdr:rowOff>
    </xdr:from>
    <xdr:to>
      <xdr:col>1</xdr:col>
      <xdr:colOff>1247775</xdr:colOff>
      <xdr:row>10</xdr:row>
      <xdr:rowOff>90488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E6FFC77-2D50-4839-9A94-AB8E04AA26BD}"/>
            </a:ext>
          </a:extLst>
        </xdr:cNvPr>
        <xdr:cNvSpPr/>
      </xdr:nvSpPr>
      <xdr:spPr>
        <a:xfrm>
          <a:off x="314326" y="2224088"/>
          <a:ext cx="1162049" cy="3429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tx1"/>
              </a:solidFill>
            </a:rPr>
            <a:t>Customers</a:t>
          </a:r>
          <a:endParaRPr lang="en-NG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47626</xdr:colOff>
      <xdr:row>10</xdr:row>
      <xdr:rowOff>142875</xdr:rowOff>
    </xdr:from>
    <xdr:to>
      <xdr:col>1</xdr:col>
      <xdr:colOff>1152525</xdr:colOff>
      <xdr:row>11</xdr:row>
      <xdr:rowOff>238125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42E8D07-6880-4E49-8A65-16D4A6B87A01}"/>
            </a:ext>
          </a:extLst>
        </xdr:cNvPr>
        <xdr:cNvSpPr/>
      </xdr:nvSpPr>
      <xdr:spPr>
        <a:xfrm>
          <a:off x="276226" y="2619375"/>
          <a:ext cx="1104899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  <a:endParaRPr lang="en-NG" sz="16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76201</xdr:colOff>
      <xdr:row>12</xdr:row>
      <xdr:rowOff>42862</xdr:rowOff>
    </xdr:from>
    <xdr:to>
      <xdr:col>1</xdr:col>
      <xdr:colOff>1181100</xdr:colOff>
      <xdr:row>13</xdr:row>
      <xdr:rowOff>138112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EBC489E-05D1-4E60-A22B-9CB7ECAC1CD9}"/>
            </a:ext>
          </a:extLst>
        </xdr:cNvPr>
        <xdr:cNvSpPr/>
      </xdr:nvSpPr>
      <xdr:spPr>
        <a:xfrm>
          <a:off x="304801" y="3014662"/>
          <a:ext cx="1104899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  <a:endParaRPr lang="en-NG" sz="16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104776</xdr:colOff>
      <xdr:row>13</xdr:row>
      <xdr:rowOff>190500</xdr:rowOff>
    </xdr:from>
    <xdr:to>
      <xdr:col>1</xdr:col>
      <xdr:colOff>1095375</xdr:colOff>
      <xdr:row>15</xdr:row>
      <xdr:rowOff>38100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C7E26EB-83F6-4853-AD01-5F7FDA949BAC}"/>
            </a:ext>
          </a:extLst>
        </xdr:cNvPr>
        <xdr:cNvSpPr/>
      </xdr:nvSpPr>
      <xdr:spPr>
        <a:xfrm>
          <a:off x="333376" y="3409950"/>
          <a:ext cx="990599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  <a:endParaRPr lang="en-NG" sz="16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66676</xdr:colOff>
      <xdr:row>15</xdr:row>
      <xdr:rowOff>90487</xdr:rowOff>
    </xdr:from>
    <xdr:to>
      <xdr:col>1</xdr:col>
      <xdr:colOff>1038225</xdr:colOff>
      <xdr:row>16</xdr:row>
      <xdr:rowOff>185737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461FE83-A57C-4C18-A77F-58444E0426E5}"/>
            </a:ext>
          </a:extLst>
        </xdr:cNvPr>
        <xdr:cNvSpPr/>
      </xdr:nvSpPr>
      <xdr:spPr>
        <a:xfrm>
          <a:off x="295276" y="3805237"/>
          <a:ext cx="971549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tx1">
                  <a:lumMod val="50000"/>
                  <a:lumOff val="50000"/>
                </a:schemeClr>
              </a:solidFill>
            </a:rPr>
            <a:t>Sale</a:t>
          </a:r>
          <a:endParaRPr lang="en-NG" sz="16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85726</xdr:colOff>
      <xdr:row>16</xdr:row>
      <xdr:rowOff>238125</xdr:rowOff>
    </xdr:from>
    <xdr:to>
      <xdr:col>1</xdr:col>
      <xdr:colOff>1095375</xdr:colOff>
      <xdr:row>18</xdr:row>
      <xdr:rowOff>85725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EDF2206-AB17-41FC-9F9A-ADCE98455923}"/>
            </a:ext>
          </a:extLst>
        </xdr:cNvPr>
        <xdr:cNvSpPr/>
      </xdr:nvSpPr>
      <xdr:spPr>
        <a:xfrm>
          <a:off x="314326" y="4200525"/>
          <a:ext cx="1009649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  <a:endParaRPr lang="en-NG" sz="16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 editAs="oneCell">
    <xdr:from>
      <xdr:col>1</xdr:col>
      <xdr:colOff>1519985</xdr:colOff>
      <xdr:row>8</xdr:row>
      <xdr:rowOff>243510</xdr:rowOff>
    </xdr:from>
    <xdr:to>
      <xdr:col>1</xdr:col>
      <xdr:colOff>1879985</xdr:colOff>
      <xdr:row>10</xdr:row>
      <xdr:rowOff>108210</xdr:rowOff>
    </xdr:to>
    <xdr:pic>
      <xdr:nvPicPr>
        <xdr:cNvPr id="11" name="Graphic 10" descr="Customer review with solid fill">
          <a:extLst>
            <a:ext uri="{FF2B5EF4-FFF2-40B4-BE49-F238E27FC236}">
              <a16:creationId xmlns:a16="http://schemas.microsoft.com/office/drawing/2014/main" id="{5A1F9492-2AF0-444F-954B-41512BCC3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748585" y="2224710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1519985</xdr:colOff>
      <xdr:row>12</xdr:row>
      <xdr:rowOff>40285</xdr:rowOff>
    </xdr:from>
    <xdr:to>
      <xdr:col>1</xdr:col>
      <xdr:colOff>1879985</xdr:colOff>
      <xdr:row>13</xdr:row>
      <xdr:rowOff>152635</xdr:rowOff>
    </xdr:to>
    <xdr:pic>
      <xdr:nvPicPr>
        <xdr:cNvPr id="12" name="Graphic 11" descr="User with solid fill">
          <a:extLst>
            <a:ext uri="{FF2B5EF4-FFF2-40B4-BE49-F238E27FC236}">
              <a16:creationId xmlns:a16="http://schemas.microsoft.com/office/drawing/2014/main" id="{EE37A232-349F-4F4D-A0D6-A3EE6ABFD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748585" y="3012085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1558085</xdr:colOff>
      <xdr:row>7</xdr:row>
      <xdr:rowOff>145098</xdr:rowOff>
    </xdr:from>
    <xdr:to>
      <xdr:col>1</xdr:col>
      <xdr:colOff>1918085</xdr:colOff>
      <xdr:row>9</xdr:row>
      <xdr:rowOff>9798</xdr:rowOff>
    </xdr:to>
    <xdr:pic>
      <xdr:nvPicPr>
        <xdr:cNvPr id="13" name="Graphic 12" descr="Gauge with solid fill">
          <a:extLst>
            <a:ext uri="{FF2B5EF4-FFF2-40B4-BE49-F238E27FC236}">
              <a16:creationId xmlns:a16="http://schemas.microsoft.com/office/drawing/2014/main" id="{AB5AC80A-EB90-457B-843F-F03B34089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1786685" y="1878648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1519985</xdr:colOff>
      <xdr:row>10</xdr:row>
      <xdr:rowOff>141897</xdr:rowOff>
    </xdr:from>
    <xdr:to>
      <xdr:col>1</xdr:col>
      <xdr:colOff>1879985</xdr:colOff>
      <xdr:row>12</xdr:row>
      <xdr:rowOff>6597</xdr:rowOff>
    </xdr:to>
    <xdr:pic>
      <xdr:nvPicPr>
        <xdr:cNvPr id="14" name="Graphic 13" descr="Inventory with solid fill">
          <a:extLst>
            <a:ext uri="{FF2B5EF4-FFF2-40B4-BE49-F238E27FC236}">
              <a16:creationId xmlns:a16="http://schemas.microsoft.com/office/drawing/2014/main" id="{3DFB04C4-C408-4DDF-9265-3F48905F7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1748585" y="2618397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1519985</xdr:colOff>
      <xdr:row>13</xdr:row>
      <xdr:rowOff>186322</xdr:rowOff>
    </xdr:from>
    <xdr:to>
      <xdr:col>1</xdr:col>
      <xdr:colOff>1879985</xdr:colOff>
      <xdr:row>15</xdr:row>
      <xdr:rowOff>51022</xdr:rowOff>
    </xdr:to>
    <xdr:pic>
      <xdr:nvPicPr>
        <xdr:cNvPr id="15" name="Graphic 14" descr="Kiosk with solid fill">
          <a:extLst>
            <a:ext uri="{FF2B5EF4-FFF2-40B4-BE49-F238E27FC236}">
              <a16:creationId xmlns:a16="http://schemas.microsoft.com/office/drawing/2014/main" id="{482A8EAD-0748-45BA-9DB4-76AD5C9FD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1748585" y="3405772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1519985</xdr:colOff>
      <xdr:row>15</xdr:row>
      <xdr:rowOff>84709</xdr:rowOff>
    </xdr:from>
    <xdr:to>
      <xdr:col>1</xdr:col>
      <xdr:colOff>1879985</xdr:colOff>
      <xdr:row>16</xdr:row>
      <xdr:rowOff>197059</xdr:rowOff>
    </xdr:to>
    <xdr:pic>
      <xdr:nvPicPr>
        <xdr:cNvPr id="16" name="Graphic 15" descr="Shopping cart with solid fill">
          <a:extLst>
            <a:ext uri="{FF2B5EF4-FFF2-40B4-BE49-F238E27FC236}">
              <a16:creationId xmlns:a16="http://schemas.microsoft.com/office/drawing/2014/main" id="{177A0427-7731-4ADB-90E7-607E16578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1748585" y="3799459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1519985</xdr:colOff>
      <xdr:row>16</xdr:row>
      <xdr:rowOff>230748</xdr:rowOff>
    </xdr:from>
    <xdr:to>
      <xdr:col>1</xdr:col>
      <xdr:colOff>1879985</xdr:colOff>
      <xdr:row>18</xdr:row>
      <xdr:rowOff>95448</xdr:rowOff>
    </xdr:to>
    <xdr:pic>
      <xdr:nvPicPr>
        <xdr:cNvPr id="17" name="Graphic 16" descr="Clipboard Checked with solid fill">
          <a:extLst>
            <a:ext uri="{FF2B5EF4-FFF2-40B4-BE49-F238E27FC236}">
              <a16:creationId xmlns:a16="http://schemas.microsoft.com/office/drawing/2014/main" id="{2D2B3998-EA47-4E6E-97D8-074506ECE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1748585" y="4193148"/>
          <a:ext cx="360000" cy="360000"/>
        </a:xfrm>
        <a:prstGeom prst="rect">
          <a:avLst/>
        </a:prstGeom>
      </xdr:spPr>
    </xdr:pic>
    <xdr:clientData/>
  </xdr:twoCellAnchor>
  <xdr:twoCellAnchor editAs="absolute">
    <xdr:from>
      <xdr:col>2</xdr:col>
      <xdr:colOff>28575</xdr:colOff>
      <xdr:row>0</xdr:row>
      <xdr:rowOff>28575</xdr:rowOff>
    </xdr:from>
    <xdr:to>
      <xdr:col>17</xdr:col>
      <xdr:colOff>38100</xdr:colOff>
      <xdr:row>2</xdr:row>
      <xdr:rowOff>19050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B6358BBE-A6EE-487E-838E-92301B342501}"/>
            </a:ext>
          </a:extLst>
        </xdr:cNvPr>
        <xdr:cNvSpPr/>
      </xdr:nvSpPr>
      <xdr:spPr>
        <a:xfrm>
          <a:off x="2667000" y="28575"/>
          <a:ext cx="12496800" cy="4857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>
              <a:solidFill>
                <a:schemeClr val="tx1"/>
              </a:solidFill>
            </a:rPr>
            <a:t>                                         Customers</a:t>
          </a:r>
          <a:endParaRPr lang="en-NG" sz="14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790575</xdr:colOff>
      <xdr:row>0</xdr:row>
      <xdr:rowOff>28575</xdr:rowOff>
    </xdr:from>
    <xdr:to>
      <xdr:col>1</xdr:col>
      <xdr:colOff>1704975</xdr:colOff>
      <xdr:row>3</xdr:row>
      <xdr:rowOff>200025</xdr:rowOff>
    </xdr:to>
    <xdr:pic>
      <xdr:nvPicPr>
        <xdr:cNvPr id="2" name="Graphic 1" descr="Bank with solid fill">
          <a:extLst>
            <a:ext uri="{FF2B5EF4-FFF2-40B4-BE49-F238E27FC236}">
              <a16:creationId xmlns:a16="http://schemas.microsoft.com/office/drawing/2014/main" id="{6C7892F3-6A23-4F7F-B522-7FA72BCC9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19175" y="28575"/>
          <a:ext cx="914400" cy="914400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3</xdr:row>
      <xdr:rowOff>95250</xdr:rowOff>
    </xdr:from>
    <xdr:to>
      <xdr:col>1</xdr:col>
      <xdr:colOff>2200275</xdr:colOff>
      <xdr:row>5</xdr:row>
      <xdr:rowOff>209550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B8BDBBF-9A99-4A79-8395-D1791F9E7DBC}"/>
            </a:ext>
          </a:extLst>
        </xdr:cNvPr>
        <xdr:cNvSpPr/>
      </xdr:nvSpPr>
      <xdr:spPr>
        <a:xfrm>
          <a:off x="76200" y="838200"/>
          <a:ext cx="2352675" cy="609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>
              <a:solidFill>
                <a:schemeClr val="tx1"/>
              </a:solidFill>
            </a:rPr>
            <a:t>Inventory</a:t>
          </a:r>
          <a:r>
            <a:rPr lang="en-GB" sz="1400" baseline="0">
              <a:solidFill>
                <a:schemeClr val="tx1"/>
              </a:solidFill>
            </a:rPr>
            <a:t> </a:t>
          </a:r>
          <a:r>
            <a:rPr lang="en-GB" sz="1600" baseline="0">
              <a:solidFill>
                <a:schemeClr val="tx1"/>
              </a:solidFill>
            </a:rPr>
            <a:t>Management</a:t>
          </a:r>
          <a:r>
            <a:rPr lang="en-GB" sz="1400" baseline="0">
              <a:solidFill>
                <a:schemeClr val="tx1"/>
              </a:solidFill>
            </a:rPr>
            <a:t> system</a:t>
          </a:r>
          <a:endParaRPr lang="en-NG" sz="14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76202</xdr:colOff>
      <xdr:row>7</xdr:row>
      <xdr:rowOff>95250</xdr:rowOff>
    </xdr:from>
    <xdr:to>
      <xdr:col>1</xdr:col>
      <xdr:colOff>1266826</xdr:colOff>
      <xdr:row>8</xdr:row>
      <xdr:rowOff>190500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B15E799-ADB9-4CED-ACFC-597C9C667ED1}"/>
            </a:ext>
          </a:extLst>
        </xdr:cNvPr>
        <xdr:cNvSpPr/>
      </xdr:nvSpPr>
      <xdr:spPr>
        <a:xfrm>
          <a:off x="304802" y="1828800"/>
          <a:ext cx="1190624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GB" sz="16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Dashboard</a:t>
          </a:r>
          <a:endParaRPr lang="en-NG" sz="1600" b="1">
            <a:solidFill>
              <a:schemeClr val="tx1">
                <a:lumMod val="50000"/>
                <a:lumOff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85726</xdr:colOff>
      <xdr:row>8</xdr:row>
      <xdr:rowOff>242888</xdr:rowOff>
    </xdr:from>
    <xdr:to>
      <xdr:col>1</xdr:col>
      <xdr:colOff>1247775</xdr:colOff>
      <xdr:row>10</xdr:row>
      <xdr:rowOff>90488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BF212A9-B600-4516-8986-547F86260F79}"/>
            </a:ext>
          </a:extLst>
        </xdr:cNvPr>
        <xdr:cNvSpPr/>
      </xdr:nvSpPr>
      <xdr:spPr>
        <a:xfrm>
          <a:off x="314326" y="2224088"/>
          <a:ext cx="1162049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  <a:endParaRPr lang="en-NG" sz="16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47626</xdr:colOff>
      <xdr:row>10</xdr:row>
      <xdr:rowOff>142875</xdr:rowOff>
    </xdr:from>
    <xdr:to>
      <xdr:col>1</xdr:col>
      <xdr:colOff>1152525</xdr:colOff>
      <xdr:row>11</xdr:row>
      <xdr:rowOff>238125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55E5850-4BD7-406E-8E3E-51161E214CA7}"/>
            </a:ext>
          </a:extLst>
        </xdr:cNvPr>
        <xdr:cNvSpPr/>
      </xdr:nvSpPr>
      <xdr:spPr>
        <a:xfrm>
          <a:off x="276226" y="2619375"/>
          <a:ext cx="1104899" cy="3429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tx1"/>
              </a:solidFill>
            </a:rPr>
            <a:t>Products</a:t>
          </a:r>
          <a:endParaRPr lang="en-NG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76201</xdr:colOff>
      <xdr:row>12</xdr:row>
      <xdr:rowOff>42862</xdr:rowOff>
    </xdr:from>
    <xdr:to>
      <xdr:col>1</xdr:col>
      <xdr:colOff>1181100</xdr:colOff>
      <xdr:row>13</xdr:row>
      <xdr:rowOff>138112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479480F-FBBC-422E-A614-2FB28CC8E795}"/>
            </a:ext>
          </a:extLst>
        </xdr:cNvPr>
        <xdr:cNvSpPr/>
      </xdr:nvSpPr>
      <xdr:spPr>
        <a:xfrm>
          <a:off x="304801" y="3014662"/>
          <a:ext cx="1104899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  <a:endParaRPr lang="en-NG" sz="16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104776</xdr:colOff>
      <xdr:row>13</xdr:row>
      <xdr:rowOff>190500</xdr:rowOff>
    </xdr:from>
    <xdr:to>
      <xdr:col>1</xdr:col>
      <xdr:colOff>1095375</xdr:colOff>
      <xdr:row>15</xdr:row>
      <xdr:rowOff>38100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9C8D189-1515-4412-979C-B3CAE188E47E}"/>
            </a:ext>
          </a:extLst>
        </xdr:cNvPr>
        <xdr:cNvSpPr/>
      </xdr:nvSpPr>
      <xdr:spPr>
        <a:xfrm>
          <a:off x="333376" y="3409950"/>
          <a:ext cx="990599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  <a:endParaRPr lang="en-NG" sz="16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66676</xdr:colOff>
      <xdr:row>15</xdr:row>
      <xdr:rowOff>90487</xdr:rowOff>
    </xdr:from>
    <xdr:to>
      <xdr:col>1</xdr:col>
      <xdr:colOff>1038225</xdr:colOff>
      <xdr:row>16</xdr:row>
      <xdr:rowOff>185737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D9B3229-D7FD-458A-826C-0ED345A6943A}"/>
            </a:ext>
          </a:extLst>
        </xdr:cNvPr>
        <xdr:cNvSpPr/>
      </xdr:nvSpPr>
      <xdr:spPr>
        <a:xfrm>
          <a:off x="295276" y="3805237"/>
          <a:ext cx="971549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tx1">
                  <a:lumMod val="50000"/>
                  <a:lumOff val="50000"/>
                </a:schemeClr>
              </a:solidFill>
            </a:rPr>
            <a:t>Sale</a:t>
          </a:r>
          <a:endParaRPr lang="en-NG" sz="16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85726</xdr:colOff>
      <xdr:row>16</xdr:row>
      <xdr:rowOff>238125</xdr:rowOff>
    </xdr:from>
    <xdr:to>
      <xdr:col>1</xdr:col>
      <xdr:colOff>1095375</xdr:colOff>
      <xdr:row>18</xdr:row>
      <xdr:rowOff>85725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77CB672-98A2-4350-9BA9-FEAEB50B2904}"/>
            </a:ext>
          </a:extLst>
        </xdr:cNvPr>
        <xdr:cNvSpPr/>
      </xdr:nvSpPr>
      <xdr:spPr>
        <a:xfrm>
          <a:off x="314326" y="4200525"/>
          <a:ext cx="1009649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  <a:endParaRPr lang="en-NG" sz="16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 editAs="oneCell">
    <xdr:from>
      <xdr:col>1</xdr:col>
      <xdr:colOff>1519985</xdr:colOff>
      <xdr:row>8</xdr:row>
      <xdr:rowOff>243510</xdr:rowOff>
    </xdr:from>
    <xdr:to>
      <xdr:col>1</xdr:col>
      <xdr:colOff>1879985</xdr:colOff>
      <xdr:row>10</xdr:row>
      <xdr:rowOff>108210</xdr:rowOff>
    </xdr:to>
    <xdr:pic>
      <xdr:nvPicPr>
        <xdr:cNvPr id="11" name="Graphic 10" descr="Customer review with solid fill">
          <a:extLst>
            <a:ext uri="{FF2B5EF4-FFF2-40B4-BE49-F238E27FC236}">
              <a16:creationId xmlns:a16="http://schemas.microsoft.com/office/drawing/2014/main" id="{3223ADA3-B94E-4B90-A09B-E449665DF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748585" y="2224710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1519985</xdr:colOff>
      <xdr:row>12</xdr:row>
      <xdr:rowOff>40285</xdr:rowOff>
    </xdr:from>
    <xdr:to>
      <xdr:col>1</xdr:col>
      <xdr:colOff>1879985</xdr:colOff>
      <xdr:row>13</xdr:row>
      <xdr:rowOff>152635</xdr:rowOff>
    </xdr:to>
    <xdr:pic>
      <xdr:nvPicPr>
        <xdr:cNvPr id="12" name="Graphic 11" descr="User with solid fill">
          <a:extLst>
            <a:ext uri="{FF2B5EF4-FFF2-40B4-BE49-F238E27FC236}">
              <a16:creationId xmlns:a16="http://schemas.microsoft.com/office/drawing/2014/main" id="{D0DA2A09-F049-4067-8381-B22BAE3BE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748585" y="3012085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1558085</xdr:colOff>
      <xdr:row>7</xdr:row>
      <xdr:rowOff>145098</xdr:rowOff>
    </xdr:from>
    <xdr:to>
      <xdr:col>1</xdr:col>
      <xdr:colOff>1918085</xdr:colOff>
      <xdr:row>9</xdr:row>
      <xdr:rowOff>9798</xdr:rowOff>
    </xdr:to>
    <xdr:pic>
      <xdr:nvPicPr>
        <xdr:cNvPr id="13" name="Graphic 12" descr="Gauge with solid fill">
          <a:extLst>
            <a:ext uri="{FF2B5EF4-FFF2-40B4-BE49-F238E27FC236}">
              <a16:creationId xmlns:a16="http://schemas.microsoft.com/office/drawing/2014/main" id="{300E2D43-6F8C-42D2-8B25-571A131F9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1786685" y="1878648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1519985</xdr:colOff>
      <xdr:row>10</xdr:row>
      <xdr:rowOff>141897</xdr:rowOff>
    </xdr:from>
    <xdr:to>
      <xdr:col>1</xdr:col>
      <xdr:colOff>1879985</xdr:colOff>
      <xdr:row>12</xdr:row>
      <xdr:rowOff>6597</xdr:rowOff>
    </xdr:to>
    <xdr:pic>
      <xdr:nvPicPr>
        <xdr:cNvPr id="14" name="Graphic 13" descr="Inventory with solid fill">
          <a:extLst>
            <a:ext uri="{FF2B5EF4-FFF2-40B4-BE49-F238E27FC236}">
              <a16:creationId xmlns:a16="http://schemas.microsoft.com/office/drawing/2014/main" id="{79438066-B944-4E7A-8FF7-63DA8AE26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1748585" y="2618397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1519985</xdr:colOff>
      <xdr:row>13</xdr:row>
      <xdr:rowOff>186322</xdr:rowOff>
    </xdr:from>
    <xdr:to>
      <xdr:col>1</xdr:col>
      <xdr:colOff>1879985</xdr:colOff>
      <xdr:row>15</xdr:row>
      <xdr:rowOff>51022</xdr:rowOff>
    </xdr:to>
    <xdr:pic>
      <xdr:nvPicPr>
        <xdr:cNvPr id="15" name="Graphic 14" descr="Kiosk with solid fill">
          <a:extLst>
            <a:ext uri="{FF2B5EF4-FFF2-40B4-BE49-F238E27FC236}">
              <a16:creationId xmlns:a16="http://schemas.microsoft.com/office/drawing/2014/main" id="{3D51CE73-A573-4EA7-8E12-D99728F9D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1748585" y="3405772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1519985</xdr:colOff>
      <xdr:row>15</xdr:row>
      <xdr:rowOff>84709</xdr:rowOff>
    </xdr:from>
    <xdr:to>
      <xdr:col>1</xdr:col>
      <xdr:colOff>1879985</xdr:colOff>
      <xdr:row>16</xdr:row>
      <xdr:rowOff>197059</xdr:rowOff>
    </xdr:to>
    <xdr:pic>
      <xdr:nvPicPr>
        <xdr:cNvPr id="16" name="Graphic 15" descr="Shopping cart with solid fill">
          <a:extLst>
            <a:ext uri="{FF2B5EF4-FFF2-40B4-BE49-F238E27FC236}">
              <a16:creationId xmlns:a16="http://schemas.microsoft.com/office/drawing/2014/main" id="{3DB40452-6F3E-4515-8FC0-0BA573208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1748585" y="3799459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1519985</xdr:colOff>
      <xdr:row>16</xdr:row>
      <xdr:rowOff>230748</xdr:rowOff>
    </xdr:from>
    <xdr:to>
      <xdr:col>1</xdr:col>
      <xdr:colOff>1879985</xdr:colOff>
      <xdr:row>18</xdr:row>
      <xdr:rowOff>95448</xdr:rowOff>
    </xdr:to>
    <xdr:pic>
      <xdr:nvPicPr>
        <xdr:cNvPr id="17" name="Graphic 16" descr="Clipboard Checked with solid fill">
          <a:extLst>
            <a:ext uri="{FF2B5EF4-FFF2-40B4-BE49-F238E27FC236}">
              <a16:creationId xmlns:a16="http://schemas.microsoft.com/office/drawing/2014/main" id="{20B58767-D299-49FB-87A8-35CEE0C1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1748585" y="4193148"/>
          <a:ext cx="360000" cy="360000"/>
        </a:xfrm>
        <a:prstGeom prst="rect">
          <a:avLst/>
        </a:prstGeom>
      </xdr:spPr>
    </xdr:pic>
    <xdr:clientData/>
  </xdr:twoCellAnchor>
  <xdr:twoCellAnchor editAs="absolute">
    <xdr:from>
      <xdr:col>2</xdr:col>
      <xdr:colOff>28575</xdr:colOff>
      <xdr:row>0</xdr:row>
      <xdr:rowOff>28575</xdr:rowOff>
    </xdr:from>
    <xdr:to>
      <xdr:col>20</xdr:col>
      <xdr:colOff>171450</xdr:colOff>
      <xdr:row>2</xdr:row>
      <xdr:rowOff>19050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2DB563BE-B560-4A22-908D-69A1F67C3C68}"/>
            </a:ext>
          </a:extLst>
        </xdr:cNvPr>
        <xdr:cNvSpPr/>
      </xdr:nvSpPr>
      <xdr:spPr>
        <a:xfrm>
          <a:off x="2667000" y="28575"/>
          <a:ext cx="12496800" cy="4857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>
              <a:solidFill>
                <a:schemeClr val="tx1"/>
              </a:solidFill>
            </a:rPr>
            <a:t>                                         Products</a:t>
          </a:r>
          <a:endParaRPr lang="en-NG" sz="14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790575</xdr:colOff>
      <xdr:row>0</xdr:row>
      <xdr:rowOff>28575</xdr:rowOff>
    </xdr:from>
    <xdr:to>
      <xdr:col>1</xdr:col>
      <xdr:colOff>1704975</xdr:colOff>
      <xdr:row>3</xdr:row>
      <xdr:rowOff>200025</xdr:rowOff>
    </xdr:to>
    <xdr:pic>
      <xdr:nvPicPr>
        <xdr:cNvPr id="2" name="Graphic 1" descr="Bank with solid fill">
          <a:extLst>
            <a:ext uri="{FF2B5EF4-FFF2-40B4-BE49-F238E27FC236}">
              <a16:creationId xmlns:a16="http://schemas.microsoft.com/office/drawing/2014/main" id="{BF23671E-1C1C-4C7A-B755-1815EA92A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19175" y="28575"/>
          <a:ext cx="914400" cy="914400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3</xdr:row>
      <xdr:rowOff>95250</xdr:rowOff>
    </xdr:from>
    <xdr:to>
      <xdr:col>1</xdr:col>
      <xdr:colOff>2200275</xdr:colOff>
      <xdr:row>5</xdr:row>
      <xdr:rowOff>209550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BCA995A-9D28-44A4-B326-15600301F768}"/>
            </a:ext>
          </a:extLst>
        </xdr:cNvPr>
        <xdr:cNvSpPr/>
      </xdr:nvSpPr>
      <xdr:spPr>
        <a:xfrm>
          <a:off x="76200" y="838200"/>
          <a:ext cx="2352675" cy="609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>
              <a:solidFill>
                <a:schemeClr val="tx1"/>
              </a:solidFill>
            </a:rPr>
            <a:t>Inventory</a:t>
          </a:r>
          <a:r>
            <a:rPr lang="en-GB" sz="1400" baseline="0">
              <a:solidFill>
                <a:schemeClr val="tx1"/>
              </a:solidFill>
            </a:rPr>
            <a:t> </a:t>
          </a:r>
          <a:r>
            <a:rPr lang="en-GB" sz="1600" baseline="0">
              <a:solidFill>
                <a:schemeClr val="tx1"/>
              </a:solidFill>
            </a:rPr>
            <a:t>Management</a:t>
          </a:r>
          <a:r>
            <a:rPr lang="en-GB" sz="1400" baseline="0">
              <a:solidFill>
                <a:schemeClr val="tx1"/>
              </a:solidFill>
            </a:rPr>
            <a:t> system</a:t>
          </a:r>
          <a:endParaRPr lang="en-NG" sz="14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76202</xdr:colOff>
      <xdr:row>7</xdr:row>
      <xdr:rowOff>95250</xdr:rowOff>
    </xdr:from>
    <xdr:to>
      <xdr:col>1</xdr:col>
      <xdr:colOff>1266826</xdr:colOff>
      <xdr:row>8</xdr:row>
      <xdr:rowOff>190500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2089E4B-D56A-4D14-834D-7C47817108CC}"/>
            </a:ext>
          </a:extLst>
        </xdr:cNvPr>
        <xdr:cNvSpPr/>
      </xdr:nvSpPr>
      <xdr:spPr>
        <a:xfrm>
          <a:off x="304802" y="1828800"/>
          <a:ext cx="1190624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GB" sz="16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Dashboard</a:t>
          </a:r>
          <a:endParaRPr lang="en-NG" sz="1600" b="1">
            <a:solidFill>
              <a:schemeClr val="tx1">
                <a:lumMod val="50000"/>
                <a:lumOff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85726</xdr:colOff>
      <xdr:row>8</xdr:row>
      <xdr:rowOff>242888</xdr:rowOff>
    </xdr:from>
    <xdr:to>
      <xdr:col>1</xdr:col>
      <xdr:colOff>1247775</xdr:colOff>
      <xdr:row>10</xdr:row>
      <xdr:rowOff>90488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6DF981A-E3FF-4EA5-BBB1-E628CBCADA84}"/>
            </a:ext>
          </a:extLst>
        </xdr:cNvPr>
        <xdr:cNvSpPr/>
      </xdr:nvSpPr>
      <xdr:spPr>
        <a:xfrm>
          <a:off x="314326" y="2224088"/>
          <a:ext cx="1162049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  <a:endParaRPr lang="en-NG" sz="16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47626</xdr:colOff>
      <xdr:row>10</xdr:row>
      <xdr:rowOff>142875</xdr:rowOff>
    </xdr:from>
    <xdr:to>
      <xdr:col>1</xdr:col>
      <xdr:colOff>1152525</xdr:colOff>
      <xdr:row>11</xdr:row>
      <xdr:rowOff>238125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60FE112-795D-4F56-AF8C-74CDAEF06B98}"/>
            </a:ext>
          </a:extLst>
        </xdr:cNvPr>
        <xdr:cNvSpPr/>
      </xdr:nvSpPr>
      <xdr:spPr>
        <a:xfrm>
          <a:off x="276226" y="2619375"/>
          <a:ext cx="1104899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  <a:endParaRPr lang="en-NG" sz="16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76201</xdr:colOff>
      <xdr:row>12</xdr:row>
      <xdr:rowOff>42862</xdr:rowOff>
    </xdr:from>
    <xdr:to>
      <xdr:col>1</xdr:col>
      <xdr:colOff>1181100</xdr:colOff>
      <xdr:row>13</xdr:row>
      <xdr:rowOff>138112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9984FF3-FC54-40C8-9D22-65852E1065F1}"/>
            </a:ext>
          </a:extLst>
        </xdr:cNvPr>
        <xdr:cNvSpPr/>
      </xdr:nvSpPr>
      <xdr:spPr>
        <a:xfrm>
          <a:off x="304801" y="3014662"/>
          <a:ext cx="1104899" cy="3429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tx1"/>
              </a:solidFill>
            </a:rPr>
            <a:t>Vendors</a:t>
          </a:r>
          <a:endParaRPr lang="en-NG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104776</xdr:colOff>
      <xdr:row>13</xdr:row>
      <xdr:rowOff>190500</xdr:rowOff>
    </xdr:from>
    <xdr:to>
      <xdr:col>1</xdr:col>
      <xdr:colOff>1095375</xdr:colOff>
      <xdr:row>15</xdr:row>
      <xdr:rowOff>38100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BF2E161-5D5F-4B93-A27B-715ADE548A49}"/>
            </a:ext>
          </a:extLst>
        </xdr:cNvPr>
        <xdr:cNvSpPr/>
      </xdr:nvSpPr>
      <xdr:spPr>
        <a:xfrm>
          <a:off x="333376" y="3409950"/>
          <a:ext cx="990599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  <a:endParaRPr lang="en-NG" sz="16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66676</xdr:colOff>
      <xdr:row>15</xdr:row>
      <xdr:rowOff>90487</xdr:rowOff>
    </xdr:from>
    <xdr:to>
      <xdr:col>1</xdr:col>
      <xdr:colOff>1038225</xdr:colOff>
      <xdr:row>16</xdr:row>
      <xdr:rowOff>185737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4970D68-4E32-4F9B-A85B-90AD1B458EDC}"/>
            </a:ext>
          </a:extLst>
        </xdr:cNvPr>
        <xdr:cNvSpPr/>
      </xdr:nvSpPr>
      <xdr:spPr>
        <a:xfrm>
          <a:off x="295276" y="3805237"/>
          <a:ext cx="971549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tx1">
                  <a:lumMod val="50000"/>
                  <a:lumOff val="50000"/>
                </a:schemeClr>
              </a:solidFill>
            </a:rPr>
            <a:t>Sale</a:t>
          </a:r>
          <a:endParaRPr lang="en-NG" sz="16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85726</xdr:colOff>
      <xdr:row>16</xdr:row>
      <xdr:rowOff>238125</xdr:rowOff>
    </xdr:from>
    <xdr:to>
      <xdr:col>1</xdr:col>
      <xdr:colOff>1095375</xdr:colOff>
      <xdr:row>18</xdr:row>
      <xdr:rowOff>85725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0CF9ACC-CE3F-4DE8-A22B-99318EB047EF}"/>
            </a:ext>
          </a:extLst>
        </xdr:cNvPr>
        <xdr:cNvSpPr/>
      </xdr:nvSpPr>
      <xdr:spPr>
        <a:xfrm>
          <a:off x="314326" y="4200525"/>
          <a:ext cx="1009649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  <a:endParaRPr lang="en-NG" sz="16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 editAs="oneCell">
    <xdr:from>
      <xdr:col>1</xdr:col>
      <xdr:colOff>1519985</xdr:colOff>
      <xdr:row>8</xdr:row>
      <xdr:rowOff>243510</xdr:rowOff>
    </xdr:from>
    <xdr:to>
      <xdr:col>1</xdr:col>
      <xdr:colOff>1879985</xdr:colOff>
      <xdr:row>10</xdr:row>
      <xdr:rowOff>108210</xdr:rowOff>
    </xdr:to>
    <xdr:pic>
      <xdr:nvPicPr>
        <xdr:cNvPr id="11" name="Graphic 10" descr="Customer review with solid fill">
          <a:extLst>
            <a:ext uri="{FF2B5EF4-FFF2-40B4-BE49-F238E27FC236}">
              <a16:creationId xmlns:a16="http://schemas.microsoft.com/office/drawing/2014/main" id="{4DA16EAA-076A-4651-A565-2E9A983F4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748585" y="2224710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1519985</xdr:colOff>
      <xdr:row>12</xdr:row>
      <xdr:rowOff>40285</xdr:rowOff>
    </xdr:from>
    <xdr:to>
      <xdr:col>1</xdr:col>
      <xdr:colOff>1879985</xdr:colOff>
      <xdr:row>13</xdr:row>
      <xdr:rowOff>152635</xdr:rowOff>
    </xdr:to>
    <xdr:pic>
      <xdr:nvPicPr>
        <xdr:cNvPr id="12" name="Graphic 11" descr="User with solid fill">
          <a:extLst>
            <a:ext uri="{FF2B5EF4-FFF2-40B4-BE49-F238E27FC236}">
              <a16:creationId xmlns:a16="http://schemas.microsoft.com/office/drawing/2014/main" id="{086AAF76-0204-4165-A883-CF5B51212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748585" y="3012085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1558085</xdr:colOff>
      <xdr:row>7</xdr:row>
      <xdr:rowOff>145098</xdr:rowOff>
    </xdr:from>
    <xdr:to>
      <xdr:col>1</xdr:col>
      <xdr:colOff>1918085</xdr:colOff>
      <xdr:row>9</xdr:row>
      <xdr:rowOff>9798</xdr:rowOff>
    </xdr:to>
    <xdr:pic>
      <xdr:nvPicPr>
        <xdr:cNvPr id="13" name="Graphic 12" descr="Gauge with solid fill">
          <a:extLst>
            <a:ext uri="{FF2B5EF4-FFF2-40B4-BE49-F238E27FC236}">
              <a16:creationId xmlns:a16="http://schemas.microsoft.com/office/drawing/2014/main" id="{7B144EED-5DA5-4FDD-AD8C-CAA42A812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1786685" y="1878648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1519985</xdr:colOff>
      <xdr:row>10</xdr:row>
      <xdr:rowOff>141897</xdr:rowOff>
    </xdr:from>
    <xdr:to>
      <xdr:col>1</xdr:col>
      <xdr:colOff>1879985</xdr:colOff>
      <xdr:row>12</xdr:row>
      <xdr:rowOff>6597</xdr:rowOff>
    </xdr:to>
    <xdr:pic>
      <xdr:nvPicPr>
        <xdr:cNvPr id="14" name="Graphic 13" descr="Inventory with solid fill">
          <a:extLst>
            <a:ext uri="{FF2B5EF4-FFF2-40B4-BE49-F238E27FC236}">
              <a16:creationId xmlns:a16="http://schemas.microsoft.com/office/drawing/2014/main" id="{877801BD-9983-425F-B7FC-14895831B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1748585" y="2618397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1519985</xdr:colOff>
      <xdr:row>13</xdr:row>
      <xdr:rowOff>186322</xdr:rowOff>
    </xdr:from>
    <xdr:to>
      <xdr:col>1</xdr:col>
      <xdr:colOff>1879985</xdr:colOff>
      <xdr:row>15</xdr:row>
      <xdr:rowOff>51022</xdr:rowOff>
    </xdr:to>
    <xdr:pic>
      <xdr:nvPicPr>
        <xdr:cNvPr id="15" name="Graphic 14" descr="Kiosk with solid fill">
          <a:extLst>
            <a:ext uri="{FF2B5EF4-FFF2-40B4-BE49-F238E27FC236}">
              <a16:creationId xmlns:a16="http://schemas.microsoft.com/office/drawing/2014/main" id="{25FD9B36-49EF-431D-9182-FF46DCAA8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1748585" y="3405772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1519985</xdr:colOff>
      <xdr:row>15</xdr:row>
      <xdr:rowOff>84709</xdr:rowOff>
    </xdr:from>
    <xdr:to>
      <xdr:col>1</xdr:col>
      <xdr:colOff>1879985</xdr:colOff>
      <xdr:row>16</xdr:row>
      <xdr:rowOff>197059</xdr:rowOff>
    </xdr:to>
    <xdr:pic>
      <xdr:nvPicPr>
        <xdr:cNvPr id="16" name="Graphic 15" descr="Shopping cart with solid fill">
          <a:extLst>
            <a:ext uri="{FF2B5EF4-FFF2-40B4-BE49-F238E27FC236}">
              <a16:creationId xmlns:a16="http://schemas.microsoft.com/office/drawing/2014/main" id="{82CB0348-0437-4C66-91A4-94E51CF0A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1748585" y="3799459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1519985</xdr:colOff>
      <xdr:row>16</xdr:row>
      <xdr:rowOff>230748</xdr:rowOff>
    </xdr:from>
    <xdr:to>
      <xdr:col>1</xdr:col>
      <xdr:colOff>1879985</xdr:colOff>
      <xdr:row>18</xdr:row>
      <xdr:rowOff>95448</xdr:rowOff>
    </xdr:to>
    <xdr:pic>
      <xdr:nvPicPr>
        <xdr:cNvPr id="17" name="Graphic 16" descr="Clipboard Checked with solid fill">
          <a:extLst>
            <a:ext uri="{FF2B5EF4-FFF2-40B4-BE49-F238E27FC236}">
              <a16:creationId xmlns:a16="http://schemas.microsoft.com/office/drawing/2014/main" id="{C6358591-0966-41C6-899A-348173860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1748585" y="4193148"/>
          <a:ext cx="360000" cy="360000"/>
        </a:xfrm>
        <a:prstGeom prst="rect">
          <a:avLst/>
        </a:prstGeom>
      </xdr:spPr>
    </xdr:pic>
    <xdr:clientData/>
  </xdr:twoCellAnchor>
  <xdr:twoCellAnchor editAs="absolute">
    <xdr:from>
      <xdr:col>2</xdr:col>
      <xdr:colOff>28575</xdr:colOff>
      <xdr:row>0</xdr:row>
      <xdr:rowOff>28575</xdr:rowOff>
    </xdr:from>
    <xdr:to>
      <xdr:col>16</xdr:col>
      <xdr:colOff>333375</xdr:colOff>
      <xdr:row>2</xdr:row>
      <xdr:rowOff>19050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3FDA33B1-EF40-4541-99A9-9B45208B0326}"/>
            </a:ext>
          </a:extLst>
        </xdr:cNvPr>
        <xdr:cNvSpPr/>
      </xdr:nvSpPr>
      <xdr:spPr>
        <a:xfrm>
          <a:off x="2667000" y="28575"/>
          <a:ext cx="12496800" cy="4857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>
              <a:solidFill>
                <a:schemeClr val="tx1"/>
              </a:solidFill>
            </a:rPr>
            <a:t>                                         Vendors</a:t>
          </a:r>
          <a:endParaRPr lang="en-NG" sz="1400">
            <a:solidFill>
              <a:schemeClr val="tx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790575</xdr:colOff>
      <xdr:row>0</xdr:row>
      <xdr:rowOff>28575</xdr:rowOff>
    </xdr:from>
    <xdr:to>
      <xdr:col>1</xdr:col>
      <xdr:colOff>1704975</xdr:colOff>
      <xdr:row>3</xdr:row>
      <xdr:rowOff>200025</xdr:rowOff>
    </xdr:to>
    <xdr:pic>
      <xdr:nvPicPr>
        <xdr:cNvPr id="2" name="Graphic 1" descr="Bank with solid fill">
          <a:extLst>
            <a:ext uri="{FF2B5EF4-FFF2-40B4-BE49-F238E27FC236}">
              <a16:creationId xmlns:a16="http://schemas.microsoft.com/office/drawing/2014/main" id="{FADD8217-0384-4610-B5E6-6B30FF8EC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19175" y="28575"/>
          <a:ext cx="914400" cy="914400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3</xdr:row>
      <xdr:rowOff>95250</xdr:rowOff>
    </xdr:from>
    <xdr:to>
      <xdr:col>1</xdr:col>
      <xdr:colOff>2200275</xdr:colOff>
      <xdr:row>5</xdr:row>
      <xdr:rowOff>209550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B6930EA-BE66-4086-8B16-4668C78C36BA}"/>
            </a:ext>
          </a:extLst>
        </xdr:cNvPr>
        <xdr:cNvSpPr/>
      </xdr:nvSpPr>
      <xdr:spPr>
        <a:xfrm>
          <a:off x="76200" y="838200"/>
          <a:ext cx="2352675" cy="609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>
              <a:solidFill>
                <a:schemeClr val="tx1"/>
              </a:solidFill>
            </a:rPr>
            <a:t>Inventory</a:t>
          </a:r>
          <a:r>
            <a:rPr lang="en-GB" sz="1400" baseline="0">
              <a:solidFill>
                <a:schemeClr val="tx1"/>
              </a:solidFill>
            </a:rPr>
            <a:t> </a:t>
          </a:r>
          <a:r>
            <a:rPr lang="en-GB" sz="1600" baseline="0">
              <a:solidFill>
                <a:schemeClr val="tx1"/>
              </a:solidFill>
            </a:rPr>
            <a:t>Management</a:t>
          </a:r>
          <a:r>
            <a:rPr lang="en-GB" sz="1400" baseline="0">
              <a:solidFill>
                <a:schemeClr val="tx1"/>
              </a:solidFill>
            </a:rPr>
            <a:t> system</a:t>
          </a:r>
          <a:endParaRPr lang="en-NG" sz="14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76202</xdr:colOff>
      <xdr:row>7</xdr:row>
      <xdr:rowOff>95250</xdr:rowOff>
    </xdr:from>
    <xdr:to>
      <xdr:col>1</xdr:col>
      <xdr:colOff>1266826</xdr:colOff>
      <xdr:row>8</xdr:row>
      <xdr:rowOff>190500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D4878BB-D46F-441F-B8DA-7C6C815D3586}"/>
            </a:ext>
          </a:extLst>
        </xdr:cNvPr>
        <xdr:cNvSpPr/>
      </xdr:nvSpPr>
      <xdr:spPr>
        <a:xfrm>
          <a:off x="304802" y="1828800"/>
          <a:ext cx="1190624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GB" sz="16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Dashboard</a:t>
          </a:r>
          <a:endParaRPr lang="en-NG" sz="1600" b="1">
            <a:solidFill>
              <a:schemeClr val="tx1">
                <a:lumMod val="50000"/>
                <a:lumOff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85726</xdr:colOff>
      <xdr:row>8</xdr:row>
      <xdr:rowOff>242888</xdr:rowOff>
    </xdr:from>
    <xdr:to>
      <xdr:col>1</xdr:col>
      <xdr:colOff>1247775</xdr:colOff>
      <xdr:row>10</xdr:row>
      <xdr:rowOff>90488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4EF2D3F-B243-4359-BDA8-6C6DAABFA600}"/>
            </a:ext>
          </a:extLst>
        </xdr:cNvPr>
        <xdr:cNvSpPr/>
      </xdr:nvSpPr>
      <xdr:spPr>
        <a:xfrm>
          <a:off x="314326" y="2224088"/>
          <a:ext cx="1162049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  <a:endParaRPr lang="en-NG" sz="16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47626</xdr:colOff>
      <xdr:row>10</xdr:row>
      <xdr:rowOff>142875</xdr:rowOff>
    </xdr:from>
    <xdr:to>
      <xdr:col>1</xdr:col>
      <xdr:colOff>1152525</xdr:colOff>
      <xdr:row>11</xdr:row>
      <xdr:rowOff>238125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46C21E5-85AC-4E7B-A0D5-5FD8CC691332}"/>
            </a:ext>
          </a:extLst>
        </xdr:cNvPr>
        <xdr:cNvSpPr/>
      </xdr:nvSpPr>
      <xdr:spPr>
        <a:xfrm>
          <a:off x="276226" y="2619375"/>
          <a:ext cx="1104899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  <a:endParaRPr lang="en-NG" sz="16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76201</xdr:colOff>
      <xdr:row>12</xdr:row>
      <xdr:rowOff>42862</xdr:rowOff>
    </xdr:from>
    <xdr:to>
      <xdr:col>1</xdr:col>
      <xdr:colOff>1181100</xdr:colOff>
      <xdr:row>13</xdr:row>
      <xdr:rowOff>138112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5EE86B2-9A66-42F7-9205-9F32CFB3A71B}"/>
            </a:ext>
          </a:extLst>
        </xdr:cNvPr>
        <xdr:cNvSpPr/>
      </xdr:nvSpPr>
      <xdr:spPr>
        <a:xfrm>
          <a:off x="304801" y="3014662"/>
          <a:ext cx="1104899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  <a:endParaRPr lang="en-NG" sz="16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104776</xdr:colOff>
      <xdr:row>13</xdr:row>
      <xdr:rowOff>190500</xdr:rowOff>
    </xdr:from>
    <xdr:to>
      <xdr:col>1</xdr:col>
      <xdr:colOff>1095375</xdr:colOff>
      <xdr:row>15</xdr:row>
      <xdr:rowOff>38100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62F38DE-AB2C-46D6-95AB-7715EB566F8D}"/>
            </a:ext>
          </a:extLst>
        </xdr:cNvPr>
        <xdr:cNvSpPr/>
      </xdr:nvSpPr>
      <xdr:spPr>
        <a:xfrm>
          <a:off x="333376" y="3409950"/>
          <a:ext cx="990599" cy="3429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tx1"/>
              </a:solidFill>
            </a:rPr>
            <a:t>Purchase</a:t>
          </a:r>
          <a:endParaRPr lang="en-NG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66676</xdr:colOff>
      <xdr:row>15</xdr:row>
      <xdr:rowOff>90487</xdr:rowOff>
    </xdr:from>
    <xdr:to>
      <xdr:col>1</xdr:col>
      <xdr:colOff>1038225</xdr:colOff>
      <xdr:row>16</xdr:row>
      <xdr:rowOff>185737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87C16CE-0F80-4900-92B4-E66723344A87}"/>
            </a:ext>
          </a:extLst>
        </xdr:cNvPr>
        <xdr:cNvSpPr/>
      </xdr:nvSpPr>
      <xdr:spPr>
        <a:xfrm>
          <a:off x="295276" y="3805237"/>
          <a:ext cx="971549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tx1">
                  <a:lumMod val="50000"/>
                  <a:lumOff val="50000"/>
                </a:schemeClr>
              </a:solidFill>
            </a:rPr>
            <a:t>Sale</a:t>
          </a:r>
          <a:endParaRPr lang="en-NG" sz="16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85726</xdr:colOff>
      <xdr:row>16</xdr:row>
      <xdr:rowOff>238125</xdr:rowOff>
    </xdr:from>
    <xdr:to>
      <xdr:col>1</xdr:col>
      <xdr:colOff>1095375</xdr:colOff>
      <xdr:row>18</xdr:row>
      <xdr:rowOff>85725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CD566BD-474A-4C88-8DAD-54EBE7C56D78}"/>
            </a:ext>
          </a:extLst>
        </xdr:cNvPr>
        <xdr:cNvSpPr/>
      </xdr:nvSpPr>
      <xdr:spPr>
        <a:xfrm>
          <a:off x="314326" y="4200525"/>
          <a:ext cx="1009649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  <a:endParaRPr lang="en-NG" sz="16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 editAs="oneCell">
    <xdr:from>
      <xdr:col>1</xdr:col>
      <xdr:colOff>1519985</xdr:colOff>
      <xdr:row>8</xdr:row>
      <xdr:rowOff>243510</xdr:rowOff>
    </xdr:from>
    <xdr:to>
      <xdr:col>1</xdr:col>
      <xdr:colOff>1879985</xdr:colOff>
      <xdr:row>10</xdr:row>
      <xdr:rowOff>108210</xdr:rowOff>
    </xdr:to>
    <xdr:pic>
      <xdr:nvPicPr>
        <xdr:cNvPr id="11" name="Graphic 10" descr="Customer review with solid fill">
          <a:extLst>
            <a:ext uri="{FF2B5EF4-FFF2-40B4-BE49-F238E27FC236}">
              <a16:creationId xmlns:a16="http://schemas.microsoft.com/office/drawing/2014/main" id="{771D940C-EF2C-4DD5-99B3-6292BBAC4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748585" y="2224710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1519985</xdr:colOff>
      <xdr:row>12</xdr:row>
      <xdr:rowOff>40285</xdr:rowOff>
    </xdr:from>
    <xdr:to>
      <xdr:col>1</xdr:col>
      <xdr:colOff>1879985</xdr:colOff>
      <xdr:row>13</xdr:row>
      <xdr:rowOff>152635</xdr:rowOff>
    </xdr:to>
    <xdr:pic>
      <xdr:nvPicPr>
        <xdr:cNvPr id="12" name="Graphic 11" descr="User with solid fill">
          <a:extLst>
            <a:ext uri="{FF2B5EF4-FFF2-40B4-BE49-F238E27FC236}">
              <a16:creationId xmlns:a16="http://schemas.microsoft.com/office/drawing/2014/main" id="{66CF5D84-263C-4DF4-99ED-9D904F150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748585" y="3012085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1558085</xdr:colOff>
      <xdr:row>7</xdr:row>
      <xdr:rowOff>145098</xdr:rowOff>
    </xdr:from>
    <xdr:to>
      <xdr:col>1</xdr:col>
      <xdr:colOff>1918085</xdr:colOff>
      <xdr:row>9</xdr:row>
      <xdr:rowOff>9798</xdr:rowOff>
    </xdr:to>
    <xdr:pic>
      <xdr:nvPicPr>
        <xdr:cNvPr id="13" name="Graphic 12" descr="Gauge with solid fill">
          <a:extLst>
            <a:ext uri="{FF2B5EF4-FFF2-40B4-BE49-F238E27FC236}">
              <a16:creationId xmlns:a16="http://schemas.microsoft.com/office/drawing/2014/main" id="{0DF8B174-CDAF-4828-83AE-1E0DA7E63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1786685" y="1878648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1519985</xdr:colOff>
      <xdr:row>10</xdr:row>
      <xdr:rowOff>141897</xdr:rowOff>
    </xdr:from>
    <xdr:to>
      <xdr:col>1</xdr:col>
      <xdr:colOff>1879985</xdr:colOff>
      <xdr:row>12</xdr:row>
      <xdr:rowOff>6597</xdr:rowOff>
    </xdr:to>
    <xdr:pic>
      <xdr:nvPicPr>
        <xdr:cNvPr id="14" name="Graphic 13" descr="Inventory with solid fill">
          <a:extLst>
            <a:ext uri="{FF2B5EF4-FFF2-40B4-BE49-F238E27FC236}">
              <a16:creationId xmlns:a16="http://schemas.microsoft.com/office/drawing/2014/main" id="{C702B039-1232-4DB8-9058-7D0F2B837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1748585" y="2618397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1519985</xdr:colOff>
      <xdr:row>13</xdr:row>
      <xdr:rowOff>186322</xdr:rowOff>
    </xdr:from>
    <xdr:to>
      <xdr:col>1</xdr:col>
      <xdr:colOff>1879985</xdr:colOff>
      <xdr:row>15</xdr:row>
      <xdr:rowOff>51022</xdr:rowOff>
    </xdr:to>
    <xdr:pic>
      <xdr:nvPicPr>
        <xdr:cNvPr id="15" name="Graphic 14" descr="Kiosk with solid fill">
          <a:extLst>
            <a:ext uri="{FF2B5EF4-FFF2-40B4-BE49-F238E27FC236}">
              <a16:creationId xmlns:a16="http://schemas.microsoft.com/office/drawing/2014/main" id="{8DA98F3D-0FCE-4651-AA66-AB265FFB7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1748585" y="3405772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1519985</xdr:colOff>
      <xdr:row>15</xdr:row>
      <xdr:rowOff>84709</xdr:rowOff>
    </xdr:from>
    <xdr:to>
      <xdr:col>1</xdr:col>
      <xdr:colOff>1879985</xdr:colOff>
      <xdr:row>16</xdr:row>
      <xdr:rowOff>197059</xdr:rowOff>
    </xdr:to>
    <xdr:pic>
      <xdr:nvPicPr>
        <xdr:cNvPr id="16" name="Graphic 15" descr="Shopping cart with solid fill">
          <a:extLst>
            <a:ext uri="{FF2B5EF4-FFF2-40B4-BE49-F238E27FC236}">
              <a16:creationId xmlns:a16="http://schemas.microsoft.com/office/drawing/2014/main" id="{1A9D7B3B-0E2A-47A0-BF01-68E38F24F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1748585" y="3799459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1519985</xdr:colOff>
      <xdr:row>16</xdr:row>
      <xdr:rowOff>230748</xdr:rowOff>
    </xdr:from>
    <xdr:to>
      <xdr:col>1</xdr:col>
      <xdr:colOff>1879985</xdr:colOff>
      <xdr:row>18</xdr:row>
      <xdr:rowOff>95448</xdr:rowOff>
    </xdr:to>
    <xdr:pic>
      <xdr:nvPicPr>
        <xdr:cNvPr id="17" name="Graphic 16" descr="Clipboard Checked with solid fill">
          <a:extLst>
            <a:ext uri="{FF2B5EF4-FFF2-40B4-BE49-F238E27FC236}">
              <a16:creationId xmlns:a16="http://schemas.microsoft.com/office/drawing/2014/main" id="{8D724F20-D16F-4C49-8406-F25D02C5D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1748585" y="4193148"/>
          <a:ext cx="360000" cy="360000"/>
        </a:xfrm>
        <a:prstGeom prst="rect">
          <a:avLst/>
        </a:prstGeom>
      </xdr:spPr>
    </xdr:pic>
    <xdr:clientData/>
  </xdr:twoCellAnchor>
  <xdr:twoCellAnchor editAs="absolute">
    <xdr:from>
      <xdr:col>2</xdr:col>
      <xdr:colOff>28575</xdr:colOff>
      <xdr:row>0</xdr:row>
      <xdr:rowOff>28575</xdr:rowOff>
    </xdr:from>
    <xdr:to>
      <xdr:col>17</xdr:col>
      <xdr:colOff>361950</xdr:colOff>
      <xdr:row>2</xdr:row>
      <xdr:rowOff>19050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49D1BC70-90D9-4C64-8EFC-107A293E7C80}"/>
            </a:ext>
          </a:extLst>
        </xdr:cNvPr>
        <xdr:cNvSpPr/>
      </xdr:nvSpPr>
      <xdr:spPr>
        <a:xfrm>
          <a:off x="2667000" y="28575"/>
          <a:ext cx="12496800" cy="4857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>
              <a:solidFill>
                <a:schemeClr val="tx1"/>
              </a:solidFill>
            </a:rPr>
            <a:t>                                         Purchase</a:t>
          </a:r>
          <a:endParaRPr lang="en-NG" sz="1400">
            <a:solidFill>
              <a:schemeClr val="tx1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790575</xdr:colOff>
      <xdr:row>0</xdr:row>
      <xdr:rowOff>28575</xdr:rowOff>
    </xdr:from>
    <xdr:to>
      <xdr:col>1</xdr:col>
      <xdr:colOff>1704975</xdr:colOff>
      <xdr:row>3</xdr:row>
      <xdr:rowOff>200025</xdr:rowOff>
    </xdr:to>
    <xdr:pic>
      <xdr:nvPicPr>
        <xdr:cNvPr id="2" name="Graphic 1" descr="Bank with solid fill">
          <a:extLst>
            <a:ext uri="{FF2B5EF4-FFF2-40B4-BE49-F238E27FC236}">
              <a16:creationId xmlns:a16="http://schemas.microsoft.com/office/drawing/2014/main" id="{27238579-8A2D-4942-9FFA-B753669AE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19175" y="28575"/>
          <a:ext cx="914400" cy="914400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3</xdr:row>
      <xdr:rowOff>95250</xdr:rowOff>
    </xdr:from>
    <xdr:to>
      <xdr:col>1</xdr:col>
      <xdr:colOff>2200275</xdr:colOff>
      <xdr:row>5</xdr:row>
      <xdr:rowOff>209550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4F1F11B-C00B-4054-AD8E-392695879264}"/>
            </a:ext>
          </a:extLst>
        </xdr:cNvPr>
        <xdr:cNvSpPr/>
      </xdr:nvSpPr>
      <xdr:spPr>
        <a:xfrm>
          <a:off x="76200" y="838200"/>
          <a:ext cx="2352675" cy="609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>
              <a:solidFill>
                <a:schemeClr val="tx1"/>
              </a:solidFill>
            </a:rPr>
            <a:t>Inventory</a:t>
          </a:r>
          <a:r>
            <a:rPr lang="en-GB" sz="1400" baseline="0">
              <a:solidFill>
                <a:schemeClr val="tx1"/>
              </a:solidFill>
            </a:rPr>
            <a:t> </a:t>
          </a:r>
          <a:r>
            <a:rPr lang="en-GB" sz="1600" baseline="0">
              <a:solidFill>
                <a:schemeClr val="tx1"/>
              </a:solidFill>
            </a:rPr>
            <a:t>Management</a:t>
          </a:r>
          <a:r>
            <a:rPr lang="en-GB" sz="1400" baseline="0">
              <a:solidFill>
                <a:schemeClr val="tx1"/>
              </a:solidFill>
            </a:rPr>
            <a:t> system</a:t>
          </a:r>
          <a:endParaRPr lang="en-NG" sz="14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76202</xdr:colOff>
      <xdr:row>7</xdr:row>
      <xdr:rowOff>95250</xdr:rowOff>
    </xdr:from>
    <xdr:to>
      <xdr:col>1</xdr:col>
      <xdr:colOff>1266826</xdr:colOff>
      <xdr:row>8</xdr:row>
      <xdr:rowOff>190500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0DDD038-7C21-426F-8677-13ECB05C70B5}"/>
            </a:ext>
          </a:extLst>
        </xdr:cNvPr>
        <xdr:cNvSpPr/>
      </xdr:nvSpPr>
      <xdr:spPr>
        <a:xfrm>
          <a:off x="304802" y="1828800"/>
          <a:ext cx="1190624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GB" sz="16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Dashboard</a:t>
          </a:r>
          <a:endParaRPr lang="en-NG" sz="1600" b="1">
            <a:solidFill>
              <a:schemeClr val="tx1">
                <a:lumMod val="50000"/>
                <a:lumOff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85726</xdr:colOff>
      <xdr:row>8</xdr:row>
      <xdr:rowOff>242888</xdr:rowOff>
    </xdr:from>
    <xdr:to>
      <xdr:col>1</xdr:col>
      <xdr:colOff>1247775</xdr:colOff>
      <xdr:row>10</xdr:row>
      <xdr:rowOff>90488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E0AC1A0-FD96-41CD-8A2B-3970FC8A1126}"/>
            </a:ext>
          </a:extLst>
        </xdr:cNvPr>
        <xdr:cNvSpPr/>
      </xdr:nvSpPr>
      <xdr:spPr>
        <a:xfrm>
          <a:off x="314326" y="2224088"/>
          <a:ext cx="1162049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  <a:endParaRPr lang="en-NG" sz="16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47626</xdr:colOff>
      <xdr:row>10</xdr:row>
      <xdr:rowOff>142875</xdr:rowOff>
    </xdr:from>
    <xdr:to>
      <xdr:col>1</xdr:col>
      <xdr:colOff>1152525</xdr:colOff>
      <xdr:row>11</xdr:row>
      <xdr:rowOff>238125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4CAE95F-AF32-48D9-9766-2412257C88D2}"/>
            </a:ext>
          </a:extLst>
        </xdr:cNvPr>
        <xdr:cNvSpPr/>
      </xdr:nvSpPr>
      <xdr:spPr>
        <a:xfrm>
          <a:off x="276226" y="2619375"/>
          <a:ext cx="1104899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  <a:endParaRPr lang="en-NG" sz="16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76201</xdr:colOff>
      <xdr:row>12</xdr:row>
      <xdr:rowOff>42862</xdr:rowOff>
    </xdr:from>
    <xdr:to>
      <xdr:col>1</xdr:col>
      <xdr:colOff>1181100</xdr:colOff>
      <xdr:row>13</xdr:row>
      <xdr:rowOff>138112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6D38CD3-00F3-4C5B-8A7B-DC4615B569AA}"/>
            </a:ext>
          </a:extLst>
        </xdr:cNvPr>
        <xdr:cNvSpPr/>
      </xdr:nvSpPr>
      <xdr:spPr>
        <a:xfrm>
          <a:off x="304801" y="3014662"/>
          <a:ext cx="1104899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  <a:endParaRPr lang="en-NG" sz="16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104776</xdr:colOff>
      <xdr:row>13</xdr:row>
      <xdr:rowOff>190500</xdr:rowOff>
    </xdr:from>
    <xdr:to>
      <xdr:col>1</xdr:col>
      <xdr:colOff>1095375</xdr:colOff>
      <xdr:row>15</xdr:row>
      <xdr:rowOff>38100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11F5756-55A8-409C-821A-47DDCCCD0AD5}"/>
            </a:ext>
          </a:extLst>
        </xdr:cNvPr>
        <xdr:cNvSpPr/>
      </xdr:nvSpPr>
      <xdr:spPr>
        <a:xfrm>
          <a:off x="333376" y="3409950"/>
          <a:ext cx="990599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  <a:endParaRPr lang="en-NG" sz="16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66676</xdr:colOff>
      <xdr:row>15</xdr:row>
      <xdr:rowOff>90487</xdr:rowOff>
    </xdr:from>
    <xdr:to>
      <xdr:col>1</xdr:col>
      <xdr:colOff>1038225</xdr:colOff>
      <xdr:row>16</xdr:row>
      <xdr:rowOff>185737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0AFEB44-80EF-41F3-94F6-C269260CE761}"/>
            </a:ext>
          </a:extLst>
        </xdr:cNvPr>
        <xdr:cNvSpPr/>
      </xdr:nvSpPr>
      <xdr:spPr>
        <a:xfrm>
          <a:off x="295276" y="3805237"/>
          <a:ext cx="971549" cy="3429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tx1"/>
              </a:solidFill>
            </a:rPr>
            <a:t>Sale</a:t>
          </a:r>
          <a:endParaRPr lang="en-NG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85726</xdr:colOff>
      <xdr:row>16</xdr:row>
      <xdr:rowOff>238125</xdr:rowOff>
    </xdr:from>
    <xdr:to>
      <xdr:col>1</xdr:col>
      <xdr:colOff>1095375</xdr:colOff>
      <xdr:row>18</xdr:row>
      <xdr:rowOff>85725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52309D4-F355-4C87-B6A7-934B70B3F674}"/>
            </a:ext>
          </a:extLst>
        </xdr:cNvPr>
        <xdr:cNvSpPr/>
      </xdr:nvSpPr>
      <xdr:spPr>
        <a:xfrm>
          <a:off x="314326" y="4200525"/>
          <a:ext cx="1009649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  <a:endParaRPr lang="en-NG" sz="16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 editAs="oneCell">
    <xdr:from>
      <xdr:col>1</xdr:col>
      <xdr:colOff>1519985</xdr:colOff>
      <xdr:row>8</xdr:row>
      <xdr:rowOff>243510</xdr:rowOff>
    </xdr:from>
    <xdr:to>
      <xdr:col>1</xdr:col>
      <xdr:colOff>1879985</xdr:colOff>
      <xdr:row>10</xdr:row>
      <xdr:rowOff>108210</xdr:rowOff>
    </xdr:to>
    <xdr:pic>
      <xdr:nvPicPr>
        <xdr:cNvPr id="11" name="Graphic 10" descr="Customer review with solid fill">
          <a:extLst>
            <a:ext uri="{FF2B5EF4-FFF2-40B4-BE49-F238E27FC236}">
              <a16:creationId xmlns:a16="http://schemas.microsoft.com/office/drawing/2014/main" id="{58228360-F773-412C-B467-12A9312FD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748585" y="2224710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1519985</xdr:colOff>
      <xdr:row>12</xdr:row>
      <xdr:rowOff>40285</xdr:rowOff>
    </xdr:from>
    <xdr:to>
      <xdr:col>1</xdr:col>
      <xdr:colOff>1879985</xdr:colOff>
      <xdr:row>13</xdr:row>
      <xdr:rowOff>152635</xdr:rowOff>
    </xdr:to>
    <xdr:pic>
      <xdr:nvPicPr>
        <xdr:cNvPr id="12" name="Graphic 11" descr="User with solid fill">
          <a:extLst>
            <a:ext uri="{FF2B5EF4-FFF2-40B4-BE49-F238E27FC236}">
              <a16:creationId xmlns:a16="http://schemas.microsoft.com/office/drawing/2014/main" id="{6480B06F-3E74-40AF-97B8-8AD838B40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748585" y="3012085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1558085</xdr:colOff>
      <xdr:row>7</xdr:row>
      <xdr:rowOff>145098</xdr:rowOff>
    </xdr:from>
    <xdr:to>
      <xdr:col>1</xdr:col>
      <xdr:colOff>1918085</xdr:colOff>
      <xdr:row>9</xdr:row>
      <xdr:rowOff>9798</xdr:rowOff>
    </xdr:to>
    <xdr:pic>
      <xdr:nvPicPr>
        <xdr:cNvPr id="13" name="Graphic 12" descr="Gauge with solid fill">
          <a:extLst>
            <a:ext uri="{FF2B5EF4-FFF2-40B4-BE49-F238E27FC236}">
              <a16:creationId xmlns:a16="http://schemas.microsoft.com/office/drawing/2014/main" id="{DAC45DEA-549D-41CD-96F3-6A90161FE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1786685" y="1878648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1519985</xdr:colOff>
      <xdr:row>10</xdr:row>
      <xdr:rowOff>141897</xdr:rowOff>
    </xdr:from>
    <xdr:to>
      <xdr:col>1</xdr:col>
      <xdr:colOff>1879985</xdr:colOff>
      <xdr:row>12</xdr:row>
      <xdr:rowOff>6597</xdr:rowOff>
    </xdr:to>
    <xdr:pic>
      <xdr:nvPicPr>
        <xdr:cNvPr id="14" name="Graphic 13" descr="Inventory with solid fill">
          <a:extLst>
            <a:ext uri="{FF2B5EF4-FFF2-40B4-BE49-F238E27FC236}">
              <a16:creationId xmlns:a16="http://schemas.microsoft.com/office/drawing/2014/main" id="{92A60D4A-6DC5-445B-BF13-9A4416863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1748585" y="2618397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1519985</xdr:colOff>
      <xdr:row>13</xdr:row>
      <xdr:rowOff>186322</xdr:rowOff>
    </xdr:from>
    <xdr:to>
      <xdr:col>1</xdr:col>
      <xdr:colOff>1879985</xdr:colOff>
      <xdr:row>15</xdr:row>
      <xdr:rowOff>51022</xdr:rowOff>
    </xdr:to>
    <xdr:pic>
      <xdr:nvPicPr>
        <xdr:cNvPr id="15" name="Graphic 14" descr="Kiosk with solid fill">
          <a:extLst>
            <a:ext uri="{FF2B5EF4-FFF2-40B4-BE49-F238E27FC236}">
              <a16:creationId xmlns:a16="http://schemas.microsoft.com/office/drawing/2014/main" id="{5A7E8385-601C-4397-8F1B-A2DB53D13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1748585" y="3405772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1519985</xdr:colOff>
      <xdr:row>15</xdr:row>
      <xdr:rowOff>84709</xdr:rowOff>
    </xdr:from>
    <xdr:to>
      <xdr:col>1</xdr:col>
      <xdr:colOff>1879985</xdr:colOff>
      <xdr:row>16</xdr:row>
      <xdr:rowOff>197059</xdr:rowOff>
    </xdr:to>
    <xdr:pic>
      <xdr:nvPicPr>
        <xdr:cNvPr id="16" name="Graphic 15" descr="Shopping cart with solid fill">
          <a:extLst>
            <a:ext uri="{FF2B5EF4-FFF2-40B4-BE49-F238E27FC236}">
              <a16:creationId xmlns:a16="http://schemas.microsoft.com/office/drawing/2014/main" id="{21F8C22F-784E-4D6D-B8E1-4BDDE7155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1748585" y="3799459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1519985</xdr:colOff>
      <xdr:row>16</xdr:row>
      <xdr:rowOff>230748</xdr:rowOff>
    </xdr:from>
    <xdr:to>
      <xdr:col>1</xdr:col>
      <xdr:colOff>1879985</xdr:colOff>
      <xdr:row>18</xdr:row>
      <xdr:rowOff>95448</xdr:rowOff>
    </xdr:to>
    <xdr:pic>
      <xdr:nvPicPr>
        <xdr:cNvPr id="17" name="Graphic 16" descr="Clipboard Checked with solid fill">
          <a:extLst>
            <a:ext uri="{FF2B5EF4-FFF2-40B4-BE49-F238E27FC236}">
              <a16:creationId xmlns:a16="http://schemas.microsoft.com/office/drawing/2014/main" id="{4C062BBF-563F-4570-9B07-70A5FC3E3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1748585" y="4193148"/>
          <a:ext cx="360000" cy="360000"/>
        </a:xfrm>
        <a:prstGeom prst="rect">
          <a:avLst/>
        </a:prstGeom>
      </xdr:spPr>
    </xdr:pic>
    <xdr:clientData/>
  </xdr:twoCellAnchor>
  <xdr:twoCellAnchor editAs="absolute">
    <xdr:from>
      <xdr:col>2</xdr:col>
      <xdr:colOff>28575</xdr:colOff>
      <xdr:row>0</xdr:row>
      <xdr:rowOff>28575</xdr:rowOff>
    </xdr:from>
    <xdr:to>
      <xdr:col>18</xdr:col>
      <xdr:colOff>47625</xdr:colOff>
      <xdr:row>2</xdr:row>
      <xdr:rowOff>19050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C7FE5D1-6448-4D95-A6C6-A3473B7FDC2D}"/>
            </a:ext>
          </a:extLst>
        </xdr:cNvPr>
        <xdr:cNvSpPr/>
      </xdr:nvSpPr>
      <xdr:spPr>
        <a:xfrm>
          <a:off x="2667000" y="28575"/>
          <a:ext cx="12496800" cy="4857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>
              <a:solidFill>
                <a:schemeClr val="tx1"/>
              </a:solidFill>
            </a:rPr>
            <a:t>                                         Sales</a:t>
          </a:r>
          <a:endParaRPr lang="en-NG" sz="1400">
            <a:solidFill>
              <a:schemeClr val="tx1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790575</xdr:colOff>
      <xdr:row>0</xdr:row>
      <xdr:rowOff>28575</xdr:rowOff>
    </xdr:from>
    <xdr:to>
      <xdr:col>1</xdr:col>
      <xdr:colOff>1704975</xdr:colOff>
      <xdr:row>3</xdr:row>
      <xdr:rowOff>200025</xdr:rowOff>
    </xdr:to>
    <xdr:pic>
      <xdr:nvPicPr>
        <xdr:cNvPr id="2" name="Graphic 1" descr="Bank with solid fill">
          <a:extLst>
            <a:ext uri="{FF2B5EF4-FFF2-40B4-BE49-F238E27FC236}">
              <a16:creationId xmlns:a16="http://schemas.microsoft.com/office/drawing/2014/main" id="{C48A6748-E0E2-441A-BD8B-EF31830F9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19175" y="28575"/>
          <a:ext cx="914400" cy="914400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3</xdr:row>
      <xdr:rowOff>95250</xdr:rowOff>
    </xdr:from>
    <xdr:to>
      <xdr:col>1</xdr:col>
      <xdr:colOff>2200275</xdr:colOff>
      <xdr:row>5</xdr:row>
      <xdr:rowOff>209550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AC6F7B4-740D-4B29-8089-8A3B4958E041}"/>
            </a:ext>
          </a:extLst>
        </xdr:cNvPr>
        <xdr:cNvSpPr/>
      </xdr:nvSpPr>
      <xdr:spPr>
        <a:xfrm>
          <a:off x="76200" y="838200"/>
          <a:ext cx="2352675" cy="609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>
              <a:solidFill>
                <a:schemeClr val="tx1"/>
              </a:solidFill>
            </a:rPr>
            <a:t>Inventory</a:t>
          </a:r>
          <a:r>
            <a:rPr lang="en-GB" sz="1400" baseline="0">
              <a:solidFill>
                <a:schemeClr val="tx1"/>
              </a:solidFill>
            </a:rPr>
            <a:t> </a:t>
          </a:r>
          <a:r>
            <a:rPr lang="en-GB" sz="1600" baseline="0">
              <a:solidFill>
                <a:schemeClr val="tx1"/>
              </a:solidFill>
            </a:rPr>
            <a:t>Management</a:t>
          </a:r>
          <a:r>
            <a:rPr lang="en-GB" sz="1400" baseline="0">
              <a:solidFill>
                <a:schemeClr val="tx1"/>
              </a:solidFill>
            </a:rPr>
            <a:t> system</a:t>
          </a:r>
          <a:endParaRPr lang="en-NG" sz="14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76202</xdr:colOff>
      <xdr:row>7</xdr:row>
      <xdr:rowOff>95250</xdr:rowOff>
    </xdr:from>
    <xdr:to>
      <xdr:col>1</xdr:col>
      <xdr:colOff>1266826</xdr:colOff>
      <xdr:row>8</xdr:row>
      <xdr:rowOff>190500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C513AB1-4B96-4223-B99D-F32733CC8A0C}"/>
            </a:ext>
          </a:extLst>
        </xdr:cNvPr>
        <xdr:cNvSpPr/>
      </xdr:nvSpPr>
      <xdr:spPr>
        <a:xfrm>
          <a:off x="304802" y="1828800"/>
          <a:ext cx="1190624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GB" sz="16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Dashboard</a:t>
          </a:r>
          <a:endParaRPr lang="en-NG" sz="1600" b="1">
            <a:solidFill>
              <a:schemeClr val="tx1">
                <a:lumMod val="50000"/>
                <a:lumOff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85726</xdr:colOff>
      <xdr:row>8</xdr:row>
      <xdr:rowOff>242888</xdr:rowOff>
    </xdr:from>
    <xdr:to>
      <xdr:col>1</xdr:col>
      <xdr:colOff>1247775</xdr:colOff>
      <xdr:row>10</xdr:row>
      <xdr:rowOff>90488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261F38B-9EE1-4752-8C62-1569A71530A3}"/>
            </a:ext>
          </a:extLst>
        </xdr:cNvPr>
        <xdr:cNvSpPr/>
      </xdr:nvSpPr>
      <xdr:spPr>
        <a:xfrm>
          <a:off x="314326" y="2224088"/>
          <a:ext cx="1162049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  <a:endParaRPr lang="en-NG" sz="16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47626</xdr:colOff>
      <xdr:row>10</xdr:row>
      <xdr:rowOff>142875</xdr:rowOff>
    </xdr:from>
    <xdr:to>
      <xdr:col>1</xdr:col>
      <xdr:colOff>1152525</xdr:colOff>
      <xdr:row>11</xdr:row>
      <xdr:rowOff>238125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2A9B04C-782F-4F69-BBE6-7E5A75A7FB8D}"/>
            </a:ext>
          </a:extLst>
        </xdr:cNvPr>
        <xdr:cNvSpPr/>
      </xdr:nvSpPr>
      <xdr:spPr>
        <a:xfrm>
          <a:off x="276226" y="2619375"/>
          <a:ext cx="1104899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  <a:endParaRPr lang="en-NG" sz="16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76201</xdr:colOff>
      <xdr:row>12</xdr:row>
      <xdr:rowOff>42862</xdr:rowOff>
    </xdr:from>
    <xdr:to>
      <xdr:col>1</xdr:col>
      <xdr:colOff>1181100</xdr:colOff>
      <xdr:row>13</xdr:row>
      <xdr:rowOff>138112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DE46963-2E5F-49AA-B626-3684301BA092}"/>
            </a:ext>
          </a:extLst>
        </xdr:cNvPr>
        <xdr:cNvSpPr/>
      </xdr:nvSpPr>
      <xdr:spPr>
        <a:xfrm>
          <a:off x="304801" y="3014662"/>
          <a:ext cx="1104899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  <a:endParaRPr lang="en-NG" sz="16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104776</xdr:colOff>
      <xdr:row>13</xdr:row>
      <xdr:rowOff>190500</xdr:rowOff>
    </xdr:from>
    <xdr:to>
      <xdr:col>1</xdr:col>
      <xdr:colOff>1095375</xdr:colOff>
      <xdr:row>15</xdr:row>
      <xdr:rowOff>38100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1881862-4DC0-4E70-ABA7-3BB71298D376}"/>
            </a:ext>
          </a:extLst>
        </xdr:cNvPr>
        <xdr:cNvSpPr/>
      </xdr:nvSpPr>
      <xdr:spPr>
        <a:xfrm>
          <a:off x="333376" y="3409950"/>
          <a:ext cx="990599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  <a:endParaRPr lang="en-NG" sz="16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66676</xdr:colOff>
      <xdr:row>15</xdr:row>
      <xdr:rowOff>90487</xdr:rowOff>
    </xdr:from>
    <xdr:to>
      <xdr:col>1</xdr:col>
      <xdr:colOff>1038225</xdr:colOff>
      <xdr:row>16</xdr:row>
      <xdr:rowOff>185737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81711E8-C5B7-46A0-9FD6-05551B17B466}"/>
            </a:ext>
          </a:extLst>
        </xdr:cNvPr>
        <xdr:cNvSpPr/>
      </xdr:nvSpPr>
      <xdr:spPr>
        <a:xfrm>
          <a:off x="295276" y="3805237"/>
          <a:ext cx="971549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tx1">
                  <a:lumMod val="50000"/>
                  <a:lumOff val="50000"/>
                </a:schemeClr>
              </a:solidFill>
            </a:rPr>
            <a:t>Sale</a:t>
          </a:r>
          <a:endParaRPr lang="en-NG" sz="16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85726</xdr:colOff>
      <xdr:row>16</xdr:row>
      <xdr:rowOff>238125</xdr:rowOff>
    </xdr:from>
    <xdr:to>
      <xdr:col>1</xdr:col>
      <xdr:colOff>1095375</xdr:colOff>
      <xdr:row>18</xdr:row>
      <xdr:rowOff>85725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EA7239C-B9C7-46B7-B334-EF734A690843}"/>
            </a:ext>
          </a:extLst>
        </xdr:cNvPr>
        <xdr:cNvSpPr/>
      </xdr:nvSpPr>
      <xdr:spPr>
        <a:xfrm>
          <a:off x="314326" y="4200525"/>
          <a:ext cx="1009649" cy="3429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tx1"/>
              </a:solidFill>
            </a:rPr>
            <a:t>Inventory</a:t>
          </a:r>
          <a:endParaRPr lang="en-NG" sz="16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1519985</xdr:colOff>
      <xdr:row>8</xdr:row>
      <xdr:rowOff>243510</xdr:rowOff>
    </xdr:from>
    <xdr:to>
      <xdr:col>1</xdr:col>
      <xdr:colOff>1879985</xdr:colOff>
      <xdr:row>10</xdr:row>
      <xdr:rowOff>108210</xdr:rowOff>
    </xdr:to>
    <xdr:pic>
      <xdr:nvPicPr>
        <xdr:cNvPr id="11" name="Graphic 10" descr="Customer review with solid fill">
          <a:extLst>
            <a:ext uri="{FF2B5EF4-FFF2-40B4-BE49-F238E27FC236}">
              <a16:creationId xmlns:a16="http://schemas.microsoft.com/office/drawing/2014/main" id="{CA092825-81E5-4ACA-8A47-DE07F9F0E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748585" y="2224710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1519985</xdr:colOff>
      <xdr:row>12</xdr:row>
      <xdr:rowOff>40285</xdr:rowOff>
    </xdr:from>
    <xdr:to>
      <xdr:col>1</xdr:col>
      <xdr:colOff>1879985</xdr:colOff>
      <xdr:row>13</xdr:row>
      <xdr:rowOff>152635</xdr:rowOff>
    </xdr:to>
    <xdr:pic>
      <xdr:nvPicPr>
        <xdr:cNvPr id="12" name="Graphic 11" descr="User with solid fill">
          <a:extLst>
            <a:ext uri="{FF2B5EF4-FFF2-40B4-BE49-F238E27FC236}">
              <a16:creationId xmlns:a16="http://schemas.microsoft.com/office/drawing/2014/main" id="{EF143D06-2A3F-4F8F-A4A5-9840F021A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748585" y="3012085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1558085</xdr:colOff>
      <xdr:row>7</xdr:row>
      <xdr:rowOff>145098</xdr:rowOff>
    </xdr:from>
    <xdr:to>
      <xdr:col>1</xdr:col>
      <xdr:colOff>1918085</xdr:colOff>
      <xdr:row>9</xdr:row>
      <xdr:rowOff>9798</xdr:rowOff>
    </xdr:to>
    <xdr:pic>
      <xdr:nvPicPr>
        <xdr:cNvPr id="13" name="Graphic 12" descr="Gauge with solid fill">
          <a:extLst>
            <a:ext uri="{FF2B5EF4-FFF2-40B4-BE49-F238E27FC236}">
              <a16:creationId xmlns:a16="http://schemas.microsoft.com/office/drawing/2014/main" id="{07A84E6A-C55B-4A15-8466-D6C6822EF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1786685" y="1878648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1519985</xdr:colOff>
      <xdr:row>10</xdr:row>
      <xdr:rowOff>141897</xdr:rowOff>
    </xdr:from>
    <xdr:to>
      <xdr:col>1</xdr:col>
      <xdr:colOff>1879985</xdr:colOff>
      <xdr:row>12</xdr:row>
      <xdr:rowOff>6597</xdr:rowOff>
    </xdr:to>
    <xdr:pic>
      <xdr:nvPicPr>
        <xdr:cNvPr id="14" name="Graphic 13" descr="Inventory with solid fill">
          <a:extLst>
            <a:ext uri="{FF2B5EF4-FFF2-40B4-BE49-F238E27FC236}">
              <a16:creationId xmlns:a16="http://schemas.microsoft.com/office/drawing/2014/main" id="{A67DF7F7-7902-40E9-B396-859238D9D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1748585" y="2618397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1519985</xdr:colOff>
      <xdr:row>13</xdr:row>
      <xdr:rowOff>186322</xdr:rowOff>
    </xdr:from>
    <xdr:to>
      <xdr:col>1</xdr:col>
      <xdr:colOff>1879985</xdr:colOff>
      <xdr:row>15</xdr:row>
      <xdr:rowOff>51022</xdr:rowOff>
    </xdr:to>
    <xdr:pic>
      <xdr:nvPicPr>
        <xdr:cNvPr id="15" name="Graphic 14" descr="Kiosk with solid fill">
          <a:extLst>
            <a:ext uri="{FF2B5EF4-FFF2-40B4-BE49-F238E27FC236}">
              <a16:creationId xmlns:a16="http://schemas.microsoft.com/office/drawing/2014/main" id="{920398C4-05DE-4027-BCF7-BDE9B7BD0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1748585" y="3405772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1519985</xdr:colOff>
      <xdr:row>15</xdr:row>
      <xdr:rowOff>84709</xdr:rowOff>
    </xdr:from>
    <xdr:to>
      <xdr:col>1</xdr:col>
      <xdr:colOff>1879985</xdr:colOff>
      <xdr:row>16</xdr:row>
      <xdr:rowOff>197059</xdr:rowOff>
    </xdr:to>
    <xdr:pic>
      <xdr:nvPicPr>
        <xdr:cNvPr id="16" name="Graphic 15" descr="Shopping cart with solid fill">
          <a:extLst>
            <a:ext uri="{FF2B5EF4-FFF2-40B4-BE49-F238E27FC236}">
              <a16:creationId xmlns:a16="http://schemas.microsoft.com/office/drawing/2014/main" id="{FFC6F6B1-CCC0-4359-9F92-61C336829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1748585" y="3799459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1519985</xdr:colOff>
      <xdr:row>16</xdr:row>
      <xdr:rowOff>230748</xdr:rowOff>
    </xdr:from>
    <xdr:to>
      <xdr:col>1</xdr:col>
      <xdr:colOff>1879985</xdr:colOff>
      <xdr:row>18</xdr:row>
      <xdr:rowOff>95448</xdr:rowOff>
    </xdr:to>
    <xdr:pic>
      <xdr:nvPicPr>
        <xdr:cNvPr id="17" name="Graphic 16" descr="Clipboard Checked with solid fill">
          <a:extLst>
            <a:ext uri="{FF2B5EF4-FFF2-40B4-BE49-F238E27FC236}">
              <a16:creationId xmlns:a16="http://schemas.microsoft.com/office/drawing/2014/main" id="{3E495EE0-72CC-42AE-BA78-A7EF36D89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1748585" y="4193148"/>
          <a:ext cx="360000" cy="360000"/>
        </a:xfrm>
        <a:prstGeom prst="rect">
          <a:avLst/>
        </a:prstGeom>
      </xdr:spPr>
    </xdr:pic>
    <xdr:clientData/>
  </xdr:twoCellAnchor>
  <xdr:twoCellAnchor editAs="absolute">
    <xdr:from>
      <xdr:col>2</xdr:col>
      <xdr:colOff>28575</xdr:colOff>
      <xdr:row>0</xdr:row>
      <xdr:rowOff>28575</xdr:rowOff>
    </xdr:from>
    <xdr:to>
      <xdr:col>15</xdr:col>
      <xdr:colOff>495300</xdr:colOff>
      <xdr:row>2</xdr:row>
      <xdr:rowOff>19050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B7384278-6972-47FD-B7E7-39BF59EEB07F}"/>
            </a:ext>
          </a:extLst>
        </xdr:cNvPr>
        <xdr:cNvSpPr/>
      </xdr:nvSpPr>
      <xdr:spPr>
        <a:xfrm>
          <a:off x="2667000" y="28575"/>
          <a:ext cx="12496800" cy="4857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>
              <a:solidFill>
                <a:schemeClr val="tx1"/>
              </a:solidFill>
            </a:rPr>
            <a:t>                                         Inventory</a:t>
          </a:r>
          <a:endParaRPr lang="en-NG" sz="1400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som franklin" refreshedDate="46166.233667129629" createdVersion="8" refreshedVersion="8" minRefreshableVersion="3" recordCount="18" xr:uid="{657E4DA1-5E67-49B6-905B-86F8B7A3BD66}">
  <cacheSource type="worksheet">
    <worksheetSource name="Table6"/>
  </cacheSource>
  <cacheFields count="8">
    <cacheField name="P_code" numFmtId="0">
      <sharedItems/>
    </cacheField>
    <cacheField name="Products" numFmtId="0">
      <sharedItems containsBlank="1" count="11">
        <s v="Jeans"/>
        <s v="Cotton"/>
        <s v="Paint"/>
        <s v="Casual shirt"/>
        <s v="T-Shirt"/>
        <s v="Shorts three quarter"/>
        <s v="Track Suit"/>
        <s v="Socks"/>
        <s v="Polo shirt"/>
        <s v="Pcap"/>
        <m/>
      </sharedItems>
    </cacheField>
    <cacheField name="Cost" numFmtId="0">
      <sharedItems containsString="0" containsBlank="1" containsNumber="1" containsInteger="1" minValue="100" maxValue="1400"/>
    </cacheField>
    <cacheField name="P_units" numFmtId="0">
      <sharedItems containsSemiMixedTypes="0" containsString="0" containsNumber="1" containsInteger="1" minValue="0" maxValue="45"/>
    </cacheField>
    <cacheField name="S_units" numFmtId="0">
      <sharedItems containsSemiMixedTypes="0" containsString="0" containsNumber="1" containsInteger="1" minValue="0" maxValue="13"/>
    </cacheField>
    <cacheField name="Stock" numFmtId="0">
      <sharedItems containsSemiMixedTypes="0" containsString="0" containsNumber="1" containsInteger="1" minValue="0" maxValue="40"/>
    </cacheField>
    <cacheField name="Stock Amount" numFmtId="0">
      <sharedItems containsSemiMixedTypes="0" containsString="0" containsNumber="1" containsInteger="1" minValue="0" maxValue="46800"/>
    </cacheField>
    <cacheField name="Notification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som franklin" refreshedDate="46166.233719444448" createdVersion="8" refreshedVersion="8" minRefreshableVersion="3" recordCount="11" xr:uid="{157627C0-5EC3-4487-B55D-7471F77F68D2}">
  <cacheSource type="worksheet">
    <worksheetSource name="Table5"/>
  </cacheSource>
  <cacheFields count="9">
    <cacheField name="Cust_id" numFmtId="0">
      <sharedItems containsString="0" containsBlank="1" containsNumber="1" containsInteger="1" minValue="101" maxValue="109"/>
    </cacheField>
    <cacheField name="Cust_Name" numFmtId="0">
      <sharedItems count="6">
        <s v="chisom trump"/>
        <s v="numan minhas"/>
        <s v="harris shabir"/>
        <s v="zahid zahanjir"/>
        <s v="muhammed musa"/>
        <s v=""/>
      </sharedItems>
    </cacheField>
    <cacheField name="P_code" numFmtId="0">
      <sharedItems containsBlank="1"/>
    </cacheField>
    <cacheField name="Products" numFmtId="0">
      <sharedItems count="7">
        <s v="Jeans"/>
        <s v="Casual shirt"/>
        <s v="T-Shirt"/>
        <s v="Shorts three quarter"/>
        <s v="Pcap"/>
        <s v="Polo shirt"/>
        <s v=""/>
      </sharedItems>
    </cacheField>
    <cacheField name="Date" numFmtId="167">
      <sharedItems containsNonDate="0" containsDate="1" containsString="0" containsBlank="1" minDate="2026-05-24T00:00:00" maxDate="2026-05-25T00:00:00"/>
    </cacheField>
    <cacheField name="Stock(Unit)" numFmtId="0">
      <sharedItems containsMixedTypes="1" containsNumber="1" containsInteger="1" minValue="6" maxValue="40"/>
    </cacheField>
    <cacheField name="Unit" numFmtId="0">
      <sharedItems containsString="0" containsBlank="1" containsNumber="1" containsInteger="1" minValue="3" maxValue="13"/>
    </cacheField>
    <cacheField name="Selling Price" numFmtId="0">
      <sharedItems containsMixedTypes="1" containsNumber="1" containsInteger="1" minValue="400" maxValue="2000"/>
    </cacheField>
    <cacheField name="Amount" numFmtId="0">
      <sharedItems containsMixedTypes="1" containsNumber="1" containsInteger="1" minValue="2000" maxValue="12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som franklin" refreshedDate="46166.233720254633" createdVersion="8" refreshedVersion="8" minRefreshableVersion="3" recordCount="9" xr:uid="{3202A062-72C9-4D25-9DF1-14809BEB2FAF}">
  <cacheSource type="worksheet">
    <worksheetSource name="Table4"/>
  </cacheSource>
  <cacheFields count="7">
    <cacheField name="P_code" numFmtId="0">
      <sharedItems/>
    </cacheField>
    <cacheField name="Products" numFmtId="0">
      <sharedItems/>
    </cacheField>
    <cacheField name="Vendor" numFmtId="0">
      <sharedItems/>
    </cacheField>
    <cacheField name="Date" numFmtId="167">
      <sharedItems containsSemiMixedTypes="0" containsNonDate="0" containsDate="1" containsString="0" minDate="2026-05-10T00:00:00" maxDate="2026-05-25T00:00:00"/>
    </cacheField>
    <cacheField name="Unit" numFmtId="0">
      <sharedItems containsSemiMixedTypes="0" containsString="0" containsNumber="1" containsInteger="1" minValue="17" maxValue="45"/>
    </cacheField>
    <cacheField name="Cost" numFmtId="0">
      <sharedItems containsSemiMixedTypes="0" containsString="0" containsNumber="1" containsInteger="1" minValue="250" maxValue="1400"/>
    </cacheField>
    <cacheField name="Amount" numFmtId="0">
      <sharedItems containsSemiMixedTypes="0" containsString="0" containsNumber="1" containsInteger="1" minValue="4250" maxValue="46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som franklin" refreshedDate="46166.233720370372" createdVersion="8" refreshedVersion="8" minRefreshableVersion="3" recordCount="10" xr:uid="{8F1DE355-A475-4B3F-9220-BFC61F6E12D4}">
  <cacheSource type="worksheet">
    <worksheetSource name="Products"/>
  </cacheSource>
  <cacheFields count="4">
    <cacheField name="P_code" numFmtId="0">
      <sharedItems/>
    </cacheField>
    <cacheField name="Products" numFmtId="0">
      <sharedItems/>
    </cacheField>
    <cacheField name="Cost" numFmtId="0">
      <sharedItems containsSemiMixedTypes="0" containsString="0" containsNumber="1" containsInteger="1" minValue="100" maxValue="1400"/>
    </cacheField>
    <cacheField name="Selling_price" numFmtId="0">
      <sharedItems containsSemiMixedTypes="0" containsString="0" containsNumber="1" containsInteger="1" minValue="150" maxValue="2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som franklin" refreshedDate="46166.233720717595" createdVersion="8" refreshedVersion="8" minRefreshableVersion="3" recordCount="10" xr:uid="{BA79905F-D6DD-4572-81A8-CC176DC63ABE}">
  <cacheSource type="worksheet">
    <worksheetSource name="Custdata"/>
  </cacheSource>
  <cacheFields count="4">
    <cacheField name="Cust_Id" numFmtId="0">
      <sharedItems containsSemiMixedTypes="0" containsString="0" containsNumber="1" containsInteger="1" minValue="101" maxValue="110"/>
    </cacheField>
    <cacheField name="Cust_Name" numFmtId="0">
      <sharedItems/>
    </cacheField>
    <cacheField name="Email" numFmtId="0">
      <sharedItems/>
    </cacheField>
    <cacheField name="Addre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s v="P1001"/>
    <x v="0"/>
    <n v="1200"/>
    <n v="24"/>
    <n v="3"/>
    <n v="21"/>
    <n v="25200"/>
    <s v=""/>
  </r>
  <r>
    <s v="P1002"/>
    <x v="1"/>
    <n v="1300"/>
    <n v="36"/>
    <n v="0"/>
    <n v="36"/>
    <n v="46800"/>
    <s v=""/>
  </r>
  <r>
    <s v="P1003"/>
    <x v="2"/>
    <n v="750"/>
    <n v="33"/>
    <n v="0"/>
    <n v="33"/>
    <n v="24750"/>
    <s v=""/>
  </r>
  <r>
    <s v="P1004"/>
    <x v="3"/>
    <n v="450"/>
    <n v="19"/>
    <n v="13"/>
    <n v="6"/>
    <n v="2700"/>
    <s v="📞Casual shirt  Need Reordered  8066196702"/>
  </r>
  <r>
    <s v="P1005"/>
    <x v="4"/>
    <n v="750"/>
    <n v="45"/>
    <n v="5"/>
    <n v="40"/>
    <n v="30000"/>
    <s v=""/>
  </r>
  <r>
    <s v="P1006"/>
    <x v="5"/>
    <n v="350"/>
    <n v="23"/>
    <n v="13"/>
    <n v="10"/>
    <n v="3500"/>
    <s v=""/>
  </r>
  <r>
    <s v="P1007"/>
    <x v="6"/>
    <n v="1400"/>
    <n v="33"/>
    <n v="0"/>
    <n v="33"/>
    <n v="46200"/>
    <s v=""/>
  </r>
  <r>
    <s v="P1008"/>
    <x v="7"/>
    <n v="100"/>
    <n v="0"/>
    <n v="0"/>
    <n v="0"/>
    <n v="0"/>
    <s v="📞Socks  Need Reordered  8068714118"/>
  </r>
  <r>
    <s v="P1009"/>
    <x v="8"/>
    <n v="1200"/>
    <n v="22"/>
    <n v="7"/>
    <n v="15"/>
    <n v="18000"/>
    <s v=""/>
  </r>
  <r>
    <s v="P1010"/>
    <x v="9"/>
    <n v="250"/>
    <n v="17"/>
    <n v="5"/>
    <n v="12"/>
    <n v="3000"/>
    <s v=""/>
  </r>
  <r>
    <s v=""/>
    <x v="10"/>
    <m/>
    <n v="0"/>
    <n v="0"/>
    <n v="0"/>
    <n v="0"/>
    <s v=""/>
  </r>
  <r>
    <s v=""/>
    <x v="10"/>
    <m/>
    <n v="0"/>
    <n v="0"/>
    <n v="0"/>
    <n v="0"/>
    <s v=""/>
  </r>
  <r>
    <s v=""/>
    <x v="10"/>
    <m/>
    <n v="0"/>
    <n v="0"/>
    <n v="0"/>
    <n v="0"/>
    <s v=""/>
  </r>
  <r>
    <s v=""/>
    <x v="10"/>
    <m/>
    <n v="0"/>
    <n v="0"/>
    <n v="0"/>
    <n v="0"/>
    <s v=""/>
  </r>
  <r>
    <s v=""/>
    <x v="10"/>
    <m/>
    <n v="0"/>
    <n v="0"/>
    <n v="0"/>
    <n v="0"/>
    <s v=""/>
  </r>
  <r>
    <s v=""/>
    <x v="10"/>
    <m/>
    <n v="0"/>
    <n v="0"/>
    <n v="0"/>
    <n v="0"/>
    <s v=""/>
  </r>
  <r>
    <s v=""/>
    <x v="10"/>
    <m/>
    <n v="0"/>
    <n v="0"/>
    <n v="0"/>
    <n v="0"/>
    <s v=""/>
  </r>
  <r>
    <s v=""/>
    <x v="10"/>
    <m/>
    <n v="0"/>
    <n v="0"/>
    <n v="0"/>
    <n v="0"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101"/>
    <x v="0"/>
    <s v="P1001"/>
    <x v="0"/>
    <d v="2026-05-24T00:00:00"/>
    <n v="21"/>
    <n v="3"/>
    <n v="2000"/>
    <n v="6000"/>
  </r>
  <r>
    <n v="103"/>
    <x v="1"/>
    <s v="P1004"/>
    <x v="1"/>
    <d v="2026-05-24T00:00:00"/>
    <n v="6"/>
    <n v="6"/>
    <n v="800"/>
    <n v="4800"/>
  </r>
  <r>
    <n v="103"/>
    <x v="1"/>
    <s v="P1005"/>
    <x v="2"/>
    <d v="2026-05-24T00:00:00"/>
    <n v="40"/>
    <n v="5"/>
    <n v="1350"/>
    <n v="6750"/>
  </r>
  <r>
    <n v="109"/>
    <x v="2"/>
    <s v="P1006"/>
    <x v="3"/>
    <d v="2026-05-24T00:00:00"/>
    <n v="10"/>
    <n v="13"/>
    <n v="650"/>
    <n v="8450"/>
  </r>
  <r>
    <n v="104"/>
    <x v="3"/>
    <s v="P1004"/>
    <x v="1"/>
    <d v="2026-05-24T00:00:00"/>
    <n v="6"/>
    <n v="7"/>
    <n v="800"/>
    <n v="5600"/>
  </r>
  <r>
    <n v="109"/>
    <x v="2"/>
    <s v="P1010"/>
    <x v="4"/>
    <d v="2026-05-24T00:00:00"/>
    <n v="12"/>
    <n v="5"/>
    <n v="400"/>
    <n v="2000"/>
  </r>
  <r>
    <n v="107"/>
    <x v="4"/>
    <s v="P1009"/>
    <x v="5"/>
    <d v="2026-05-24T00:00:00"/>
    <n v="15"/>
    <n v="7"/>
    <n v="1800"/>
    <n v="12600"/>
  </r>
  <r>
    <m/>
    <x v="5"/>
    <m/>
    <x v="6"/>
    <m/>
    <s v=""/>
    <m/>
    <s v=""/>
    <s v=""/>
  </r>
  <r>
    <m/>
    <x v="5"/>
    <m/>
    <x v="6"/>
    <m/>
    <s v=""/>
    <m/>
    <s v=""/>
    <s v=""/>
  </r>
  <r>
    <m/>
    <x v="5"/>
    <m/>
    <x v="6"/>
    <m/>
    <s v=""/>
    <m/>
    <s v=""/>
    <s v=""/>
  </r>
  <r>
    <m/>
    <x v="5"/>
    <m/>
    <x v="6"/>
    <m/>
    <s v=""/>
    <m/>
    <s v=""/>
    <s v="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P1001"/>
    <s v="Jeans"/>
    <s v="Zahid Garmet"/>
    <d v="2026-05-10T00:00:00"/>
    <n v="24"/>
    <n v="1200"/>
    <n v="28800"/>
  </r>
  <r>
    <s v="P1002"/>
    <s v="Cotton"/>
    <s v="Arsel Traders"/>
    <d v="2026-05-10T00:00:00"/>
    <n v="36"/>
    <n v="1300"/>
    <n v="46800"/>
  </r>
  <r>
    <s v="P1003"/>
    <s v="Paint"/>
    <s v="Musa Garmets"/>
    <d v="2026-05-11T00:00:00"/>
    <n v="33"/>
    <n v="750"/>
    <n v="24750"/>
  </r>
  <r>
    <s v="P1004"/>
    <s v="Casual shirt"/>
    <s v="Zahid Garmet"/>
    <d v="2026-05-24T00:00:00"/>
    <n v="19"/>
    <n v="450"/>
    <n v="8550"/>
  </r>
  <r>
    <s v="P1006"/>
    <s v="Shorts three quarter"/>
    <s v="Arsel Traders"/>
    <d v="2026-05-24T00:00:00"/>
    <n v="23"/>
    <n v="350"/>
    <n v="8050"/>
  </r>
  <r>
    <s v="P1005"/>
    <s v="T-Shirt"/>
    <s v="Zahid Garmet"/>
    <d v="2026-05-24T00:00:00"/>
    <n v="45"/>
    <n v="750"/>
    <n v="33750"/>
  </r>
  <r>
    <s v="P1010"/>
    <s v="Pcap"/>
    <s v="Fashion collections"/>
    <d v="2026-05-24T00:00:00"/>
    <n v="17"/>
    <n v="250"/>
    <n v="4250"/>
  </r>
  <r>
    <s v="P1009"/>
    <s v="Polo shirt"/>
    <s v="Musa Garmets"/>
    <d v="2026-05-24T00:00:00"/>
    <n v="22"/>
    <n v="1200"/>
    <n v="26400"/>
  </r>
  <r>
    <s v="P1007"/>
    <s v="Track Suit"/>
    <s v="Arsel Traders"/>
    <d v="2026-05-24T00:00:00"/>
    <n v="33"/>
    <n v="1400"/>
    <n v="462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P1001"/>
    <s v="Jeans"/>
    <n v="1200"/>
    <n v="2000"/>
  </r>
  <r>
    <s v="P1002"/>
    <s v="Cotton"/>
    <n v="1300"/>
    <n v="2200"/>
  </r>
  <r>
    <s v="P1003"/>
    <s v="Paint"/>
    <n v="750"/>
    <n v="1400"/>
  </r>
  <r>
    <s v="P1004"/>
    <s v="Casual shirt"/>
    <n v="450"/>
    <n v="800"/>
  </r>
  <r>
    <s v="P1005"/>
    <s v="T-Shirt"/>
    <n v="750"/>
    <n v="1350"/>
  </r>
  <r>
    <s v="P1006"/>
    <s v="Shorts three quarter"/>
    <n v="350"/>
    <n v="650"/>
  </r>
  <r>
    <s v="P1007"/>
    <s v="Track Suit"/>
    <n v="1400"/>
    <n v="2400"/>
  </r>
  <r>
    <s v="P1008"/>
    <s v="Socks"/>
    <n v="100"/>
    <n v="150"/>
  </r>
  <r>
    <s v="P1009"/>
    <s v="Polo shirt"/>
    <n v="1200"/>
    <n v="1800"/>
  </r>
  <r>
    <s v="P1010"/>
    <s v="Pcap"/>
    <n v="250"/>
    <n v="4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1"/>
    <s v="chisom trump"/>
    <s v="chisomtrump@gmail.com"/>
    <s v="satelitetown main market"/>
  </r>
  <r>
    <n v="102"/>
    <s v="adhan abkar"/>
    <s v="adhanabkar@gmail.com"/>
    <s v="popular nursery lahore"/>
  </r>
  <r>
    <n v="103"/>
    <s v="numan minhas"/>
    <s v="numanminhas@gmail.com"/>
    <s v="zero point pinhi"/>
  </r>
  <r>
    <n v="104"/>
    <s v="zahid zahanjir"/>
    <s v="zahidzahanjir@gmail.com"/>
    <s v="apo ressetlement"/>
  </r>
  <r>
    <n v="105"/>
    <s v="shajehan abkar"/>
    <s v="shajehanabkar@gmail.com"/>
    <s v="maitam estate"/>
  </r>
  <r>
    <n v="106"/>
    <s v="shebzad ali"/>
    <s v="shebzadali@gmail.com"/>
    <s v="guzape region str"/>
  </r>
  <r>
    <n v="107"/>
    <s v="muhammed musa"/>
    <s v="muhammedmusa@gmail.com"/>
    <s v="street 6 wuse"/>
  </r>
  <r>
    <n v="108"/>
    <s v="arhan shebnar"/>
    <s v="arhanshebnar@gmail.com"/>
    <s v="zone e extension"/>
  </r>
  <r>
    <n v="109"/>
    <s v="harris shabir"/>
    <s v="harrisshabir@gmail.com"/>
    <s v="punjab town main gt area"/>
  </r>
  <r>
    <n v="110"/>
    <s v="abdullahi"/>
    <s v="abdullahi@gmail.com"/>
    <s v="garrison region portharcou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1CF380-3753-477E-B598-EA362A68F048}" name="PivotTable8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J2:K14" firstHeaderRow="1" firstDataRow="1" firstDataCol="1"/>
  <pivotFields count="8">
    <pivotField showAll="0"/>
    <pivotField axis="axisRow" showAll="0">
      <items count="12">
        <item x="3"/>
        <item x="1"/>
        <item x="0"/>
        <item x="2"/>
        <item x="9"/>
        <item x="8"/>
        <item x="5"/>
        <item x="7"/>
        <item x="6"/>
        <item x="4"/>
        <item x="10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Stock" fld="5" baseField="0" baseItem="0"/>
  </dataFields>
  <chartFormats count="4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54947D-C6CE-4FA5-AFFE-63407A31C384}" name="PivotTable7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F15:G20" firstHeaderRow="1" firstDataRow="1" firstDataCol="1"/>
  <pivotFields count="9">
    <pivotField showAll="0"/>
    <pivotField axis="axisRow" showAll="0" measureFilter="1" sortType="descending">
      <items count="7">
        <item x="5"/>
        <item x="0"/>
        <item x="2"/>
        <item x="4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 v="3"/>
    </i>
    <i>
      <x v="4"/>
    </i>
    <i>
      <x v="2"/>
    </i>
    <i>
      <x v="1"/>
    </i>
    <i t="grand">
      <x/>
    </i>
  </rowItems>
  <colItems count="1">
    <i/>
  </colItems>
  <dataFields count="1">
    <dataField name="Sum of Amount" fld="8" baseField="1" baseItem="2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4" filterVal="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D17AE2-5E14-4D11-9B0C-847D78400695}" name="PivotTable6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F2:G7" firstHeaderRow="1" firstDataRow="1" firstDataCol="1"/>
  <pivotFields count="9">
    <pivotField showAll="0"/>
    <pivotField showAll="0"/>
    <pivotField showAll="0"/>
    <pivotField axis="axisRow" showAll="0" measureFilter="1" sortType="descending">
      <items count="8">
        <item x="6"/>
        <item x="1"/>
        <item x="0"/>
        <item x="3"/>
        <item x="2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3"/>
  </rowFields>
  <rowItems count="5">
    <i>
      <x v="6"/>
    </i>
    <i>
      <x v="1"/>
    </i>
    <i>
      <x v="3"/>
    </i>
    <i>
      <x v="4"/>
    </i>
    <i t="grand">
      <x/>
    </i>
  </rowItems>
  <colItems count="1">
    <i/>
  </colItems>
  <dataFields count="1">
    <dataField name="Sum of Amount" fld="8" baseField="3" baseItem="1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4" filterVal="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B6A35D-E160-46EB-8953-05E5312B745C}" name="PivotTable5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C31" firstHeaderRow="1" firstDataRow="1" firstDataCol="0"/>
  <pivotFields count="8"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50CE9D-8AD0-45FF-86F1-93D2943F255E}" name="PivotTable4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A12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FE8DEC-3E60-47F1-BC52-1E6224C1399B}" name="PivotTable3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A9" firstHeaderRow="1" firstDataRow="1" firstDataCol="0"/>
  <pivotFields count="7"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0E900D-64F7-4929-836E-1DA09988E274}" name="PivotTable2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A6" firstHeaderRow="1" firstDataRow="1" firstDataCol="0"/>
  <pivotFields count="4"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Count of Products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92E666-A116-4101-AE30-ACE2877FC7E7}" name="PivotTable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A3" firstHeaderRow="1" firstDataRow="1" firstDataCol="0"/>
  <pivotFields count="4"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Count of Cust_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715ED2-1AB5-4837-A0B3-2CDFE5EEF7E3}" name="Custdata" displayName="Custdata" ref="D6:G16" totalsRowShown="0" headerRowDxfId="43" dataDxfId="44">
  <autoFilter ref="D6:G16" xr:uid="{FE715ED2-1AB5-4837-A0B3-2CDFE5EEF7E3}"/>
  <tableColumns count="4">
    <tableColumn id="1" xr3:uid="{8103A157-C30C-42C5-9C00-C51EEF1F6723}" name="Cust_Id" dataDxfId="48"/>
    <tableColumn id="2" xr3:uid="{8051B840-EA3F-45EF-94B9-A44E12E701B7}" name="Cust_Name" dataDxfId="47"/>
    <tableColumn id="3" xr3:uid="{7E4AEE9C-AE43-4123-82C7-20FE308FBE39}" name="Email" dataDxfId="46" dataCellStyle="Hyperlink"/>
    <tableColumn id="4" xr3:uid="{1439B80E-C206-4E39-8A68-62B26423C132}" name="Address" dataDxfId="45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F752A-BAA5-4820-8F0D-C87B4356E8B5}" name="Products" displayName="Products" ref="D6:G16" totalsRowShown="0" headerRowDxfId="37" dataDxfId="38">
  <autoFilter ref="D6:G16" xr:uid="{256F752A-BAA5-4820-8F0D-C87B4356E8B5}"/>
  <tableColumns count="4">
    <tableColumn id="1" xr3:uid="{E0387AE3-DE09-469F-B752-CBBF7A0EB4ED}" name="P_code" dataDxfId="42"/>
    <tableColumn id="2" xr3:uid="{81ED93AF-E953-45B0-A4BD-F95C85C1F815}" name="Products" dataDxfId="41"/>
    <tableColumn id="3" xr3:uid="{EC9CBB49-D38A-4B31-8416-0666C5501503}" name="Cost" dataDxfId="40"/>
    <tableColumn id="4" xr3:uid="{7A1968F9-0C3C-467A-B4DE-55FB155216C2}" name="Selling_price" dataDxfId="39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34D877-90A8-4666-A01B-4C2AA25028CB}" name="Vendors" displayName="Vendors" ref="D6:H16" totalsRowShown="0" headerRowDxfId="30" dataDxfId="31">
  <autoFilter ref="D6:H16" xr:uid="{6034D877-90A8-4666-A01B-4C2AA25028CB}"/>
  <tableColumns count="5">
    <tableColumn id="1" xr3:uid="{E5C2B212-5281-4E02-A102-D8870F1EEE23}" name="P_code" dataDxfId="36"/>
    <tableColumn id="2" xr3:uid="{C3F79FB9-1845-4CFE-BC1F-FF8CBCFF434E}" name="Products" dataDxfId="35"/>
    <tableColumn id="3" xr3:uid="{92D3558D-568A-45EE-B516-5C417604CC9A}" name="Vendor" dataDxfId="34"/>
    <tableColumn id="4" xr3:uid="{072E0D08-A5CA-4A4D-8F57-B0AAEEFF551A}" name="Phone_num" dataDxfId="33"/>
    <tableColumn id="5" xr3:uid="{7E3C8923-096B-4D54-9541-DAEE9ABF0C3F}" name="Address" dataDxfId="32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3970D8-FCEE-4AB4-9974-639E2D8D8A6B}" name="Table4" displayName="Table4" ref="D6:J15" totalsRowShown="0" headerRowDxfId="26" dataDxfId="27">
  <autoFilter ref="D6:J15" xr:uid="{973970D8-FCEE-4AB4-9974-639E2D8D8A6B}"/>
  <tableColumns count="7">
    <tableColumn id="1" xr3:uid="{75B83382-B769-4F2B-914A-91693CBDB679}" name="P_code" dataDxfId="29"/>
    <tableColumn id="2" xr3:uid="{0E802A63-DC33-4267-A992-909943E0F8A3}" name="Products" dataDxfId="25">
      <calculatedColumnFormula>IFERROR(VLOOKUP(Table4[[#This Row],[P_code]],Products[#All],2,0),"")</calculatedColumnFormula>
    </tableColumn>
    <tableColumn id="3" xr3:uid="{502DCE0F-F0BA-4152-B367-5D94F76FACD2}" name="Vendor" dataDxfId="24">
      <calculatedColumnFormula>IFERROR(VLOOKUP(Table4[[#This Row],[P_code]],Vendors[#All],3,0),"")</calculatedColumnFormula>
    </tableColumn>
    <tableColumn id="4" xr3:uid="{32348BAA-1BBA-4DD6-9F02-4F708C9741F2}" name="Date" dataDxfId="21"/>
    <tableColumn id="5" xr3:uid="{FBFD316B-E0CB-4D34-80FD-D66FC9FC795F}" name="Unit" dataDxfId="28"/>
    <tableColumn id="6" xr3:uid="{34D9DB14-22DF-4571-8F48-21BA3DD5626B}" name="Cost" dataDxfId="23">
      <calculatedColumnFormula>IFERROR(VLOOKUP(Table4[[#This Row],[P_code]],Products[#All],3,0),"")</calculatedColumnFormula>
    </tableColumn>
    <tableColumn id="7" xr3:uid="{5DF1BF70-6057-46FB-A91D-7088485FFDB3}" name="Amount" dataDxfId="22">
      <calculatedColumnFormula>IFERROR(Table4[[#This Row],[Cost]]*Table4[[#This Row],[Unit]],"")</calculatedColumnFormula>
    </tableColumn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DF4344A-F694-424B-BB66-8318FD27C0AF}" name="Table5" displayName="Table5" ref="D6:L17" totalsRowShown="0" headerRowDxfId="16" dataDxfId="17">
  <autoFilter ref="D6:L17" xr:uid="{DDF4344A-F694-424B-BB66-8318FD27C0AF}"/>
  <tableColumns count="9">
    <tableColumn id="1" xr3:uid="{00E9BC96-2EB2-48F4-85A2-CEFC067DE12F}" name="Cust_id" dataDxfId="20"/>
    <tableColumn id="2" xr3:uid="{645AF416-29A0-4124-8B6C-0B0CC929B5E4}" name="Cust_Name" dataDxfId="15">
      <calculatedColumnFormula>IFERROR(VLOOKUP(Table5[[#This Row],[Cust_id]],Custdata[#All],2,0),"")</calculatedColumnFormula>
    </tableColumn>
    <tableColumn id="3" xr3:uid="{4DC1A08A-0E9C-42A1-8710-FEC3AF579EFA}" name="P_code" dataDxfId="19"/>
    <tableColumn id="4" xr3:uid="{57D428A9-403E-458B-A7DA-33D3A95E7875}" name="Products" dataDxfId="14">
      <calculatedColumnFormula>IFERROR(VLOOKUP(Table5[[#This Row],[P_code]],Products[#All],2,0),"")</calculatedColumnFormula>
    </tableColumn>
    <tableColumn id="5" xr3:uid="{F5DC2508-0935-41BB-8F6B-3D5F0D154D53}" name="Date" dataDxfId="11"/>
    <tableColumn id="6" xr3:uid="{7BC7898B-111E-4F50-A6E2-E4C9CD5C087A}" name="Stock(Unit)" dataDxfId="2">
      <calculatedColumnFormula>IFERROR(VLOOKUP(Table5[[#This Row],[P_code]],Table6[#All],6,0),"")</calculatedColumnFormula>
    </tableColumn>
    <tableColumn id="7" xr3:uid="{5522D631-67F2-4F25-B21B-032155E126C2}" name="Unit" dataDxfId="18"/>
    <tableColumn id="8" xr3:uid="{8EF75F7F-7029-486E-AF45-4DCEF53CBBEE}" name="Selling Price" dataDxfId="13">
      <calculatedColumnFormula>IFERROR(VLOOKUP(Table5[[#This Row],[P_code]],Products[#All],4,0),"")</calculatedColumnFormula>
    </tableColumn>
    <tableColumn id="9" xr3:uid="{259B7879-8A9C-418B-8C9A-6BE83AFBE7F5}" name="Amount" dataDxfId="12">
      <calculatedColumnFormula>IFERROR(Table5[[#This Row],[Selling Price]]*Table5[[#This Row],[Unit]],"")</calculatedColumnFormula>
    </tableColumn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0495459-6EC6-4A30-B880-7480C0B4413D}" name="Table6" displayName="Table6" ref="D6:K24" totalsRowShown="0" headerRowDxfId="7" dataDxfId="8">
  <autoFilter ref="D6:K24" xr:uid="{30495459-6EC6-4A30-B880-7480C0B4413D}"/>
  <tableColumns count="8">
    <tableColumn id="1" xr3:uid="{E559FA88-F0A4-41E1-B142-A7B93FA02408}" name="P_code" dataDxfId="6">
      <calculatedColumnFormula>IFERROR(Products[[#This Row],[P_code]],"")</calculatedColumnFormula>
    </tableColumn>
    <tableColumn id="2" xr3:uid="{05C91855-1D2F-41B8-BFCE-84BA58ABA200}" name="Products" dataDxfId="10"/>
    <tableColumn id="3" xr3:uid="{63F42A10-9095-4B05-8549-EC9AB91D6EDA}" name="Cost" dataDxfId="9"/>
    <tableColumn id="4" xr3:uid="{33A58960-6A64-4AFE-9A4B-D6BC2BFBDFC5}" name="P_units" dataDxfId="5">
      <calculatedColumnFormula>SUMIF(Table4[P_code],Table6[[#This Row],[P_code]],Table4[Unit])</calculatedColumnFormula>
    </tableColumn>
    <tableColumn id="5" xr3:uid="{7C0A745A-E5C7-4094-9988-6CC9F10369FC}" name="S_units" dataDxfId="4">
      <calculatedColumnFormula>SUMIF(Table5[P_code],Table6[[#This Row],[P_code]],Table5[Unit])</calculatedColumnFormula>
    </tableColumn>
    <tableColumn id="6" xr3:uid="{E82A6E25-63E5-48C0-A383-8E275D1011D4}" name="Stock" dataDxfId="3">
      <calculatedColumnFormula>Table6[[#This Row],[P_units]]-Table6[[#This Row],[S_units]]</calculatedColumnFormula>
    </tableColumn>
    <tableColumn id="10" xr3:uid="{EF29E74F-8329-43B1-9F96-3C435B846ADF}" name="Stock Amount" dataDxfId="1">
      <calculatedColumnFormula>Table6[[#This Row],[Cost]]*Table6[[#This Row],[Stock]]</calculatedColumnFormula>
    </tableColumn>
    <tableColumn id="8" xr3:uid="{7AB08AE1-14A5-45EB-9113-3B0A90913138}" name="Notifications" dataDxfId="0">
      <calculatedColumnFormula>IFERROR(IF(Table6[[#This Row],[Stock]]&lt;10,"📞"&amp;Table6[[#This Row],[Products]]&amp;"  Need Reordered  "&amp;VLOOKUP(Table6[[#This Row],[P_code]],Vendors[#All],4,0),""),"")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rhanshebnar@gmail.com" TargetMode="External"/><Relationship Id="rId13" Type="http://schemas.openxmlformats.org/officeDocument/2006/relationships/table" Target="../tables/table1.xml"/><Relationship Id="rId3" Type="http://schemas.openxmlformats.org/officeDocument/2006/relationships/hyperlink" Target="mailto:numanminhas@gmail.com" TargetMode="External"/><Relationship Id="rId7" Type="http://schemas.openxmlformats.org/officeDocument/2006/relationships/hyperlink" Target="mailto:muhammedmusa@gmail.com" TargetMode="External"/><Relationship Id="rId12" Type="http://schemas.openxmlformats.org/officeDocument/2006/relationships/drawing" Target="../drawings/drawing2.xml"/><Relationship Id="rId2" Type="http://schemas.openxmlformats.org/officeDocument/2006/relationships/hyperlink" Target="mailto:adhanabkar@gmail.com" TargetMode="External"/><Relationship Id="rId1" Type="http://schemas.openxmlformats.org/officeDocument/2006/relationships/hyperlink" Target="mailto:chisomtrump@gmail.com" TargetMode="External"/><Relationship Id="rId6" Type="http://schemas.openxmlformats.org/officeDocument/2006/relationships/hyperlink" Target="mailto:shebzadali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shajehanabkar@gmail.com" TargetMode="External"/><Relationship Id="rId10" Type="http://schemas.openxmlformats.org/officeDocument/2006/relationships/hyperlink" Target="mailto:abdullahi@gmail.com" TargetMode="External"/><Relationship Id="rId4" Type="http://schemas.openxmlformats.org/officeDocument/2006/relationships/hyperlink" Target="mailto:zahidzahanjir@gmail.com" TargetMode="External"/><Relationship Id="rId9" Type="http://schemas.openxmlformats.org/officeDocument/2006/relationships/hyperlink" Target="mailto:harrisshabir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BF44F-CAAF-4A5D-97B8-9A63221C67F7}">
  <dimension ref="A1:K1222"/>
  <sheetViews>
    <sheetView workbookViewId="0">
      <selection activeCell="L8" sqref="L8"/>
    </sheetView>
  </sheetViews>
  <sheetFormatPr defaultRowHeight="15" x14ac:dyDescent="0.25"/>
  <cols>
    <col min="1" max="1" width="10.42578125" bestFit="1" customWidth="1"/>
    <col min="2" max="2" width="47.7109375" bestFit="1" customWidth="1"/>
    <col min="3" max="3" width="17.85546875" bestFit="1" customWidth="1"/>
    <col min="4" max="4" width="16.5703125" bestFit="1" customWidth="1"/>
    <col min="5" max="5" width="9.5703125" bestFit="1" customWidth="1"/>
    <col min="6" max="6" width="7" bestFit="1" customWidth="1"/>
    <col min="7" max="7" width="8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236</v>
      </c>
      <c r="F1" t="s">
        <v>4</v>
      </c>
      <c r="G1" t="s">
        <v>5</v>
      </c>
      <c r="H1" t="s">
        <v>6</v>
      </c>
      <c r="I1" t="s">
        <v>235</v>
      </c>
      <c r="J1" t="s">
        <v>7</v>
      </c>
      <c r="K1" t="s">
        <v>8</v>
      </c>
    </row>
    <row r="2" spans="1:11" x14ac:dyDescent="0.25">
      <c r="A2" s="1">
        <v>45829</v>
      </c>
      <c r="B2" t="s">
        <v>9</v>
      </c>
      <c r="C2" t="s">
        <v>10</v>
      </c>
      <c r="D2" t="s">
        <v>11</v>
      </c>
      <c r="E2">
        <v>15</v>
      </c>
      <c r="F2">
        <v>1</v>
      </c>
      <c r="G2">
        <v>15</v>
      </c>
      <c r="H2" s="2">
        <v>3000</v>
      </c>
      <c r="I2">
        <v>45000</v>
      </c>
      <c r="J2">
        <v>6750</v>
      </c>
      <c r="K2">
        <v>51750</v>
      </c>
    </row>
    <row r="3" spans="1:11" x14ac:dyDescent="0.25">
      <c r="A3" s="1">
        <v>45829</v>
      </c>
      <c r="B3" t="s">
        <v>12</v>
      </c>
      <c r="C3" t="s">
        <v>13</v>
      </c>
      <c r="D3" t="s">
        <v>14</v>
      </c>
      <c r="E3">
        <v>8</v>
      </c>
      <c r="F3">
        <v>1</v>
      </c>
      <c r="G3">
        <v>12.46</v>
      </c>
      <c r="H3">
        <v>20000</v>
      </c>
      <c r="I3">
        <v>249200</v>
      </c>
      <c r="J3">
        <v>37380</v>
      </c>
      <c r="K3">
        <v>286580</v>
      </c>
    </row>
    <row r="4" spans="1:11" x14ac:dyDescent="0.25">
      <c r="A4" s="1">
        <v>45829</v>
      </c>
      <c r="B4" t="s">
        <v>12</v>
      </c>
      <c r="C4" t="s">
        <v>15</v>
      </c>
      <c r="D4" t="s">
        <v>14</v>
      </c>
      <c r="E4">
        <v>8</v>
      </c>
      <c r="F4">
        <v>1</v>
      </c>
      <c r="G4">
        <v>23.13</v>
      </c>
      <c r="H4">
        <v>20000</v>
      </c>
      <c r="I4">
        <v>462600</v>
      </c>
      <c r="J4">
        <v>69390</v>
      </c>
      <c r="K4">
        <v>531990</v>
      </c>
    </row>
    <row r="5" spans="1:11" x14ac:dyDescent="0.25">
      <c r="A5" s="1">
        <v>45829</v>
      </c>
      <c r="B5" t="s">
        <v>12</v>
      </c>
      <c r="C5" t="s">
        <v>16</v>
      </c>
      <c r="D5" t="s">
        <v>17</v>
      </c>
      <c r="E5">
        <v>10</v>
      </c>
      <c r="F5">
        <v>24</v>
      </c>
      <c r="G5">
        <v>18.010000000000002</v>
      </c>
      <c r="H5">
        <v>20000</v>
      </c>
      <c r="I5">
        <v>360200</v>
      </c>
      <c r="J5">
        <v>54030</v>
      </c>
      <c r="K5">
        <v>414230</v>
      </c>
    </row>
    <row r="6" spans="1:11" x14ac:dyDescent="0.25">
      <c r="A6" s="1">
        <v>45829</v>
      </c>
      <c r="B6" t="s">
        <v>12</v>
      </c>
      <c r="C6" t="s">
        <v>18</v>
      </c>
      <c r="D6" t="s">
        <v>19</v>
      </c>
      <c r="E6">
        <v>6</v>
      </c>
      <c r="F6">
        <v>1</v>
      </c>
      <c r="G6">
        <v>24.73</v>
      </c>
      <c r="H6">
        <v>20000</v>
      </c>
      <c r="I6">
        <v>494600</v>
      </c>
      <c r="J6">
        <v>74190</v>
      </c>
      <c r="K6">
        <v>568790</v>
      </c>
    </row>
    <row r="7" spans="1:11" x14ac:dyDescent="0.25">
      <c r="A7" s="1">
        <v>45829</v>
      </c>
      <c r="B7" t="s">
        <v>20</v>
      </c>
      <c r="C7" t="s">
        <v>21</v>
      </c>
      <c r="D7" t="s">
        <v>22</v>
      </c>
      <c r="E7">
        <v>8</v>
      </c>
      <c r="F7">
        <v>450</v>
      </c>
      <c r="G7">
        <v>450</v>
      </c>
      <c r="H7">
        <v>90</v>
      </c>
      <c r="I7">
        <v>40500</v>
      </c>
      <c r="J7">
        <v>6075</v>
      </c>
      <c r="K7">
        <v>46575</v>
      </c>
    </row>
    <row r="8" spans="1:11" x14ac:dyDescent="0.25">
      <c r="A8" s="1">
        <v>45829</v>
      </c>
      <c r="B8" t="s">
        <v>20</v>
      </c>
      <c r="C8" t="s">
        <v>23</v>
      </c>
      <c r="D8" t="s">
        <v>24</v>
      </c>
      <c r="E8">
        <v>10</v>
      </c>
      <c r="F8">
        <v>927</v>
      </c>
      <c r="G8">
        <v>927</v>
      </c>
      <c r="H8">
        <v>90</v>
      </c>
      <c r="I8">
        <v>83430</v>
      </c>
      <c r="J8">
        <v>12514.5</v>
      </c>
      <c r="K8">
        <v>95944.5</v>
      </c>
    </row>
    <row r="9" spans="1:11" x14ac:dyDescent="0.25">
      <c r="A9" s="1">
        <v>45829</v>
      </c>
      <c r="B9" t="s">
        <v>20</v>
      </c>
      <c r="C9" t="s">
        <v>25</v>
      </c>
      <c r="D9" t="s">
        <v>17</v>
      </c>
      <c r="E9">
        <v>9</v>
      </c>
      <c r="F9">
        <v>331</v>
      </c>
      <c r="G9">
        <v>331</v>
      </c>
      <c r="H9">
        <v>90</v>
      </c>
      <c r="I9">
        <v>29790</v>
      </c>
      <c r="J9">
        <v>4468.5</v>
      </c>
      <c r="K9">
        <v>34258.5</v>
      </c>
    </row>
    <row r="10" spans="1:11" x14ac:dyDescent="0.25">
      <c r="A10" s="1">
        <v>45829</v>
      </c>
      <c r="B10" t="s">
        <v>20</v>
      </c>
      <c r="C10" t="s">
        <v>21</v>
      </c>
      <c r="D10" t="s">
        <v>17</v>
      </c>
      <c r="E10">
        <v>6</v>
      </c>
      <c r="F10">
        <v>1093</v>
      </c>
      <c r="G10">
        <v>1093</v>
      </c>
      <c r="H10">
        <v>90</v>
      </c>
      <c r="I10">
        <v>98370</v>
      </c>
      <c r="J10">
        <v>14755.5</v>
      </c>
      <c r="K10">
        <v>113125.5</v>
      </c>
    </row>
    <row r="11" spans="1:11" x14ac:dyDescent="0.25">
      <c r="A11" s="1">
        <v>45829</v>
      </c>
      <c r="B11" t="s">
        <v>20</v>
      </c>
      <c r="C11" t="s">
        <v>25</v>
      </c>
      <c r="D11" t="s">
        <v>26</v>
      </c>
      <c r="E11">
        <v>21</v>
      </c>
      <c r="F11">
        <v>124</v>
      </c>
      <c r="G11">
        <v>124</v>
      </c>
      <c r="H11">
        <v>90</v>
      </c>
      <c r="I11">
        <v>11160</v>
      </c>
      <c r="J11">
        <v>1674</v>
      </c>
      <c r="K11">
        <v>12834</v>
      </c>
    </row>
    <row r="12" spans="1:11" x14ac:dyDescent="0.25">
      <c r="A12" s="1">
        <v>45829</v>
      </c>
      <c r="B12" t="s">
        <v>20</v>
      </c>
      <c r="C12" t="s">
        <v>21</v>
      </c>
      <c r="D12" t="s">
        <v>26</v>
      </c>
      <c r="E12">
        <v>7</v>
      </c>
      <c r="F12">
        <v>195</v>
      </c>
      <c r="G12">
        <v>195</v>
      </c>
      <c r="H12">
        <v>90</v>
      </c>
      <c r="I12">
        <v>17550</v>
      </c>
      <c r="J12">
        <v>2632.5</v>
      </c>
      <c r="K12">
        <v>20182.5</v>
      </c>
    </row>
    <row r="13" spans="1:11" x14ac:dyDescent="0.25">
      <c r="A13" s="1">
        <v>45829</v>
      </c>
      <c r="B13" t="s">
        <v>20</v>
      </c>
      <c r="C13" t="s">
        <v>21</v>
      </c>
      <c r="D13" t="s">
        <v>27</v>
      </c>
      <c r="E13">
        <v>12</v>
      </c>
      <c r="F13">
        <v>88</v>
      </c>
      <c r="G13">
        <v>88</v>
      </c>
      <c r="H13">
        <v>90</v>
      </c>
      <c r="I13">
        <v>7920</v>
      </c>
      <c r="J13">
        <v>1188</v>
      </c>
      <c r="K13">
        <v>9108</v>
      </c>
    </row>
    <row r="14" spans="1:11" x14ac:dyDescent="0.25">
      <c r="A14" s="1">
        <v>45829</v>
      </c>
      <c r="B14" t="s">
        <v>20</v>
      </c>
      <c r="C14" t="s">
        <v>28</v>
      </c>
      <c r="D14" t="s">
        <v>17</v>
      </c>
      <c r="E14">
        <v>9</v>
      </c>
      <c r="F14">
        <v>83</v>
      </c>
      <c r="G14">
        <v>83</v>
      </c>
      <c r="H14">
        <v>90</v>
      </c>
      <c r="I14">
        <v>7470</v>
      </c>
      <c r="J14">
        <v>1120.5</v>
      </c>
      <c r="K14">
        <v>8590.5</v>
      </c>
    </row>
    <row r="15" spans="1:11" x14ac:dyDescent="0.25">
      <c r="A15" s="1">
        <v>45836</v>
      </c>
      <c r="B15" t="s">
        <v>20</v>
      </c>
      <c r="C15" t="s">
        <v>29</v>
      </c>
      <c r="D15" t="s">
        <v>19</v>
      </c>
      <c r="E15">
        <v>7</v>
      </c>
      <c r="F15">
        <v>558</v>
      </c>
      <c r="G15">
        <v>500</v>
      </c>
      <c r="H15">
        <v>90</v>
      </c>
      <c r="I15">
        <v>45000</v>
      </c>
      <c r="J15">
        <v>6750</v>
      </c>
      <c r="K15">
        <v>51750</v>
      </c>
    </row>
    <row r="16" spans="1:11" x14ac:dyDescent="0.25">
      <c r="A16" s="1">
        <v>45829</v>
      </c>
      <c r="B16" t="s">
        <v>20</v>
      </c>
      <c r="C16" t="s">
        <v>23</v>
      </c>
      <c r="D16" t="s">
        <v>17</v>
      </c>
      <c r="E16">
        <v>9</v>
      </c>
      <c r="F16">
        <v>984</v>
      </c>
      <c r="G16">
        <v>984</v>
      </c>
      <c r="H16">
        <v>90</v>
      </c>
      <c r="I16">
        <v>88560</v>
      </c>
      <c r="J16">
        <v>13284</v>
      </c>
      <c r="K16">
        <v>101844</v>
      </c>
    </row>
    <row r="17" spans="1:11" x14ac:dyDescent="0.25">
      <c r="A17" s="1">
        <v>45829</v>
      </c>
      <c r="B17" t="s">
        <v>20</v>
      </c>
      <c r="C17" t="s">
        <v>23</v>
      </c>
      <c r="D17" t="s">
        <v>26</v>
      </c>
      <c r="E17">
        <v>2</v>
      </c>
      <c r="F17">
        <v>26</v>
      </c>
      <c r="G17">
        <v>26</v>
      </c>
      <c r="H17">
        <v>90</v>
      </c>
      <c r="I17">
        <v>2340</v>
      </c>
      <c r="J17">
        <v>351</v>
      </c>
      <c r="K17">
        <v>2691</v>
      </c>
    </row>
    <row r="18" spans="1:11" x14ac:dyDescent="0.25">
      <c r="A18" s="1">
        <v>45829</v>
      </c>
      <c r="B18" t="s">
        <v>20</v>
      </c>
      <c r="C18" t="s">
        <v>28</v>
      </c>
      <c r="D18" t="s">
        <v>27</v>
      </c>
      <c r="E18">
        <v>29</v>
      </c>
      <c r="F18">
        <v>51</v>
      </c>
      <c r="G18">
        <v>51</v>
      </c>
      <c r="H18">
        <v>90</v>
      </c>
      <c r="I18">
        <v>4590</v>
      </c>
      <c r="J18">
        <v>688.5</v>
      </c>
      <c r="K18">
        <v>5278.5</v>
      </c>
    </row>
    <row r="19" spans="1:11" x14ac:dyDescent="0.25">
      <c r="A19" s="1">
        <v>45829</v>
      </c>
      <c r="B19" t="s">
        <v>30</v>
      </c>
      <c r="C19" t="s">
        <v>31</v>
      </c>
      <c r="D19" t="s">
        <v>32</v>
      </c>
      <c r="E19">
        <v>2</v>
      </c>
      <c r="F19">
        <v>45</v>
      </c>
      <c r="G19">
        <v>9000</v>
      </c>
      <c r="H19">
        <v>70</v>
      </c>
      <c r="I19">
        <v>630000</v>
      </c>
      <c r="J19">
        <v>94500</v>
      </c>
      <c r="K19">
        <v>724500</v>
      </c>
    </row>
    <row r="20" spans="1:11" x14ac:dyDescent="0.25">
      <c r="A20" s="1">
        <v>45829</v>
      </c>
      <c r="B20" t="s">
        <v>30</v>
      </c>
      <c r="C20" t="s">
        <v>33</v>
      </c>
      <c r="D20" t="s">
        <v>32</v>
      </c>
      <c r="E20">
        <v>3</v>
      </c>
      <c r="F20">
        <v>64</v>
      </c>
      <c r="G20">
        <v>9053</v>
      </c>
      <c r="H20">
        <v>70</v>
      </c>
      <c r="I20">
        <v>633710</v>
      </c>
      <c r="J20">
        <v>95056.5</v>
      </c>
      <c r="K20">
        <v>728766.5</v>
      </c>
    </row>
    <row r="21" spans="1:11" x14ac:dyDescent="0.25">
      <c r="A21" s="1">
        <v>45829</v>
      </c>
      <c r="B21" t="s">
        <v>34</v>
      </c>
      <c r="C21" t="s">
        <v>35</v>
      </c>
      <c r="D21" t="s">
        <v>17</v>
      </c>
      <c r="E21">
        <v>4</v>
      </c>
      <c r="F21">
        <v>1623</v>
      </c>
      <c r="G21">
        <v>508</v>
      </c>
      <c r="H21">
        <v>12</v>
      </c>
      <c r="I21">
        <v>6096</v>
      </c>
      <c r="J21">
        <v>914.4</v>
      </c>
      <c r="K21">
        <v>7010.4</v>
      </c>
    </row>
    <row r="22" spans="1:11" x14ac:dyDescent="0.25">
      <c r="A22" s="1">
        <v>45829</v>
      </c>
      <c r="B22" t="s">
        <v>34</v>
      </c>
      <c r="C22" t="s">
        <v>35</v>
      </c>
      <c r="D22" t="s">
        <v>19</v>
      </c>
      <c r="E22">
        <v>2</v>
      </c>
      <c r="F22">
        <v>290</v>
      </c>
      <c r="G22">
        <v>227</v>
      </c>
      <c r="H22">
        <v>12</v>
      </c>
      <c r="I22">
        <v>2724</v>
      </c>
      <c r="J22">
        <v>408.6</v>
      </c>
      <c r="K22">
        <v>3132.6</v>
      </c>
    </row>
    <row r="23" spans="1:11" x14ac:dyDescent="0.25">
      <c r="A23" s="1">
        <v>45829</v>
      </c>
      <c r="B23" t="s">
        <v>36</v>
      </c>
      <c r="C23" t="s">
        <v>37</v>
      </c>
      <c r="D23" t="s">
        <v>17</v>
      </c>
      <c r="E23">
        <v>10</v>
      </c>
      <c r="G23">
        <v>20</v>
      </c>
      <c r="H23">
        <v>2400</v>
      </c>
      <c r="I23">
        <v>48000</v>
      </c>
      <c r="J23">
        <v>7200</v>
      </c>
      <c r="K23">
        <v>55200</v>
      </c>
    </row>
    <row r="24" spans="1:11" x14ac:dyDescent="0.25">
      <c r="A24" s="1">
        <v>45829</v>
      </c>
      <c r="B24" t="s">
        <v>36</v>
      </c>
      <c r="C24" t="s">
        <v>38</v>
      </c>
      <c r="D24" t="s">
        <v>24</v>
      </c>
      <c r="E24">
        <v>8</v>
      </c>
      <c r="F24">
        <v>3</v>
      </c>
      <c r="G24">
        <v>20</v>
      </c>
      <c r="H24">
        <v>2400</v>
      </c>
      <c r="I24">
        <v>48000</v>
      </c>
      <c r="J24">
        <v>7200</v>
      </c>
      <c r="K24">
        <v>55200</v>
      </c>
    </row>
    <row r="25" spans="1:11" x14ac:dyDescent="0.25">
      <c r="A25" s="1">
        <v>45829</v>
      </c>
      <c r="B25" t="s">
        <v>39</v>
      </c>
      <c r="C25" t="s">
        <v>40</v>
      </c>
      <c r="D25" t="s">
        <v>27</v>
      </c>
      <c r="E25">
        <v>5</v>
      </c>
      <c r="F25">
        <v>2</v>
      </c>
      <c r="G25">
        <v>2</v>
      </c>
      <c r="H25">
        <v>2500</v>
      </c>
      <c r="I25">
        <v>5000</v>
      </c>
      <c r="J25">
        <v>750</v>
      </c>
      <c r="K25">
        <v>5750</v>
      </c>
    </row>
    <row r="26" spans="1:11" x14ac:dyDescent="0.25">
      <c r="A26" s="1">
        <v>45829</v>
      </c>
      <c r="B26" t="s">
        <v>36</v>
      </c>
      <c r="C26" t="s">
        <v>41</v>
      </c>
      <c r="D26" t="s">
        <v>24</v>
      </c>
      <c r="E26">
        <v>5</v>
      </c>
      <c r="F26">
        <v>2</v>
      </c>
      <c r="G26">
        <v>20</v>
      </c>
      <c r="H26">
        <v>2400</v>
      </c>
      <c r="I26">
        <v>48000</v>
      </c>
      <c r="J26">
        <v>7200</v>
      </c>
      <c r="K26">
        <v>55200</v>
      </c>
    </row>
    <row r="27" spans="1:11" x14ac:dyDescent="0.25">
      <c r="A27" s="1">
        <v>45829</v>
      </c>
      <c r="B27" t="s">
        <v>42</v>
      </c>
      <c r="C27" t="s">
        <v>21</v>
      </c>
      <c r="D27" t="s">
        <v>17</v>
      </c>
      <c r="E27">
        <v>10</v>
      </c>
      <c r="F27">
        <v>1169</v>
      </c>
      <c r="G27">
        <v>1169</v>
      </c>
      <c r="H27">
        <v>70</v>
      </c>
      <c r="I27">
        <v>81830</v>
      </c>
      <c r="J27">
        <v>12274.5</v>
      </c>
      <c r="K27">
        <v>94104.5</v>
      </c>
    </row>
    <row r="28" spans="1:11" x14ac:dyDescent="0.25">
      <c r="A28" s="1">
        <v>45829</v>
      </c>
      <c r="B28" t="s">
        <v>42</v>
      </c>
      <c r="C28" t="s">
        <v>21</v>
      </c>
      <c r="D28" t="s">
        <v>32</v>
      </c>
      <c r="E28">
        <v>5</v>
      </c>
      <c r="F28">
        <v>879</v>
      </c>
      <c r="G28">
        <v>879</v>
      </c>
      <c r="H28">
        <v>70</v>
      </c>
      <c r="I28">
        <v>61530</v>
      </c>
      <c r="J28">
        <v>9229.5</v>
      </c>
      <c r="K28">
        <v>70759.5</v>
      </c>
    </row>
    <row r="29" spans="1:11" x14ac:dyDescent="0.25">
      <c r="A29" s="1">
        <v>45829</v>
      </c>
      <c r="B29" t="s">
        <v>42</v>
      </c>
      <c r="C29" t="s">
        <v>43</v>
      </c>
      <c r="D29" t="s">
        <v>17</v>
      </c>
      <c r="E29">
        <v>12</v>
      </c>
      <c r="F29">
        <v>1083</v>
      </c>
      <c r="G29">
        <v>1083</v>
      </c>
      <c r="H29">
        <v>70</v>
      </c>
      <c r="I29">
        <v>75810</v>
      </c>
      <c r="J29">
        <v>11371.5</v>
      </c>
      <c r="K29">
        <v>87181.5</v>
      </c>
    </row>
    <row r="30" spans="1:11" x14ac:dyDescent="0.25">
      <c r="A30" s="1">
        <v>45829</v>
      </c>
      <c r="B30" t="s">
        <v>44</v>
      </c>
      <c r="C30" t="s">
        <v>45</v>
      </c>
      <c r="D30" t="s">
        <v>26</v>
      </c>
      <c r="E30">
        <v>6</v>
      </c>
      <c r="F30">
        <v>497</v>
      </c>
      <c r="G30">
        <v>130</v>
      </c>
      <c r="H30">
        <v>70</v>
      </c>
      <c r="I30">
        <v>9100</v>
      </c>
      <c r="J30">
        <v>1365</v>
      </c>
      <c r="K30">
        <v>10465</v>
      </c>
    </row>
    <row r="31" spans="1:11" x14ac:dyDescent="0.25">
      <c r="A31" s="1">
        <v>45829</v>
      </c>
      <c r="B31" t="s">
        <v>44</v>
      </c>
      <c r="C31" t="s">
        <v>46</v>
      </c>
      <c r="D31" t="s">
        <v>26</v>
      </c>
      <c r="E31">
        <v>6</v>
      </c>
      <c r="F31">
        <v>20</v>
      </c>
      <c r="G31">
        <v>20</v>
      </c>
      <c r="H31">
        <v>70</v>
      </c>
      <c r="I31">
        <v>1400</v>
      </c>
      <c r="J31">
        <v>210</v>
      </c>
      <c r="K31">
        <v>1610</v>
      </c>
    </row>
    <row r="32" spans="1:11" x14ac:dyDescent="0.25">
      <c r="A32" s="1">
        <v>45829</v>
      </c>
      <c r="B32" t="s">
        <v>44</v>
      </c>
      <c r="C32" t="s">
        <v>28</v>
      </c>
      <c r="D32" t="s">
        <v>26</v>
      </c>
      <c r="E32">
        <v>6</v>
      </c>
      <c r="F32">
        <v>220</v>
      </c>
      <c r="G32">
        <v>220</v>
      </c>
      <c r="H32">
        <v>70</v>
      </c>
      <c r="I32">
        <v>15400</v>
      </c>
      <c r="J32">
        <v>2310</v>
      </c>
      <c r="K32">
        <v>17710</v>
      </c>
    </row>
    <row r="33" spans="1:11" x14ac:dyDescent="0.25">
      <c r="A33" s="1">
        <v>45829</v>
      </c>
      <c r="B33" t="s">
        <v>44</v>
      </c>
      <c r="C33" t="s">
        <v>47</v>
      </c>
      <c r="D33" t="s">
        <v>26</v>
      </c>
      <c r="E33">
        <v>6</v>
      </c>
      <c r="F33">
        <v>177</v>
      </c>
      <c r="G33">
        <v>177</v>
      </c>
      <c r="H33">
        <v>70</v>
      </c>
      <c r="I33">
        <v>12390</v>
      </c>
      <c r="J33">
        <v>1858.5</v>
      </c>
      <c r="K33">
        <v>14248.5</v>
      </c>
    </row>
    <row r="34" spans="1:11" x14ac:dyDescent="0.25">
      <c r="A34" s="1">
        <v>45829</v>
      </c>
      <c r="B34" t="s">
        <v>44</v>
      </c>
      <c r="C34" t="s">
        <v>48</v>
      </c>
      <c r="D34" t="s">
        <v>26</v>
      </c>
      <c r="E34">
        <v>6</v>
      </c>
      <c r="F34">
        <v>167</v>
      </c>
      <c r="G34">
        <v>140</v>
      </c>
      <c r="H34">
        <v>70</v>
      </c>
      <c r="I34">
        <v>9800</v>
      </c>
      <c r="J34">
        <v>1470</v>
      </c>
      <c r="K34">
        <v>11270</v>
      </c>
    </row>
    <row r="35" spans="1:11" x14ac:dyDescent="0.25">
      <c r="A35" s="1">
        <v>45829</v>
      </c>
      <c r="B35" t="s">
        <v>44</v>
      </c>
      <c r="C35" t="s">
        <v>49</v>
      </c>
      <c r="D35" t="s">
        <v>26</v>
      </c>
      <c r="E35">
        <v>6</v>
      </c>
      <c r="F35">
        <v>347</v>
      </c>
      <c r="G35">
        <v>347</v>
      </c>
      <c r="H35">
        <v>70</v>
      </c>
      <c r="I35">
        <v>24290</v>
      </c>
      <c r="J35">
        <v>3643.5</v>
      </c>
      <c r="K35">
        <v>27933.5</v>
      </c>
    </row>
    <row r="36" spans="1:11" x14ac:dyDescent="0.25">
      <c r="A36" s="1">
        <v>45829</v>
      </c>
      <c r="B36" t="s">
        <v>44</v>
      </c>
      <c r="C36" t="s">
        <v>50</v>
      </c>
      <c r="D36" t="s">
        <v>26</v>
      </c>
      <c r="E36">
        <v>6</v>
      </c>
      <c r="F36">
        <v>60</v>
      </c>
      <c r="G36">
        <v>60</v>
      </c>
      <c r="H36">
        <v>70</v>
      </c>
      <c r="I36">
        <v>4200</v>
      </c>
      <c r="J36">
        <v>630</v>
      </c>
      <c r="K36">
        <v>4830</v>
      </c>
    </row>
    <row r="37" spans="1:11" x14ac:dyDescent="0.25">
      <c r="A37" s="1">
        <v>45829</v>
      </c>
      <c r="B37" t="s">
        <v>44</v>
      </c>
      <c r="C37" t="s">
        <v>51</v>
      </c>
      <c r="D37" t="s">
        <v>26</v>
      </c>
      <c r="E37">
        <v>6</v>
      </c>
      <c r="F37">
        <v>283</v>
      </c>
      <c r="G37">
        <v>283</v>
      </c>
      <c r="H37">
        <v>70</v>
      </c>
      <c r="I37">
        <v>19810</v>
      </c>
      <c r="J37">
        <v>2971.5</v>
      </c>
      <c r="K37">
        <v>22781.5</v>
      </c>
    </row>
    <row r="38" spans="1:11" x14ac:dyDescent="0.25">
      <c r="A38" s="1">
        <v>45829</v>
      </c>
      <c r="B38" t="s">
        <v>44</v>
      </c>
      <c r="C38" t="s">
        <v>52</v>
      </c>
      <c r="D38" t="s">
        <v>26</v>
      </c>
      <c r="E38">
        <v>6</v>
      </c>
      <c r="F38">
        <v>180</v>
      </c>
      <c r="G38">
        <v>180</v>
      </c>
      <c r="H38">
        <v>70</v>
      </c>
      <c r="I38">
        <v>12600</v>
      </c>
      <c r="J38">
        <v>1890</v>
      </c>
      <c r="K38">
        <v>14490</v>
      </c>
    </row>
    <row r="39" spans="1:11" x14ac:dyDescent="0.25">
      <c r="A39" s="1">
        <v>45829</v>
      </c>
      <c r="B39" t="s">
        <v>44</v>
      </c>
      <c r="C39" t="s">
        <v>53</v>
      </c>
      <c r="D39" t="s">
        <v>26</v>
      </c>
      <c r="E39">
        <v>6</v>
      </c>
      <c r="F39">
        <v>180</v>
      </c>
      <c r="G39">
        <v>180</v>
      </c>
      <c r="H39">
        <v>70</v>
      </c>
      <c r="I39">
        <v>12600</v>
      </c>
      <c r="J39">
        <v>1890</v>
      </c>
      <c r="K39">
        <v>14490</v>
      </c>
    </row>
    <row r="40" spans="1:11" x14ac:dyDescent="0.25">
      <c r="A40" s="1">
        <v>45829</v>
      </c>
      <c r="B40" t="s">
        <v>44</v>
      </c>
      <c r="C40" t="s">
        <v>54</v>
      </c>
      <c r="D40" t="s">
        <v>26</v>
      </c>
      <c r="E40">
        <v>7</v>
      </c>
      <c r="F40">
        <v>575</v>
      </c>
      <c r="G40">
        <v>200</v>
      </c>
      <c r="H40">
        <v>70</v>
      </c>
      <c r="I40">
        <v>14000</v>
      </c>
      <c r="J40">
        <v>2100</v>
      </c>
      <c r="K40">
        <v>16100</v>
      </c>
    </row>
    <row r="41" spans="1:11" x14ac:dyDescent="0.25">
      <c r="A41" s="1">
        <v>45829</v>
      </c>
      <c r="B41" t="s">
        <v>44</v>
      </c>
      <c r="C41" t="s">
        <v>55</v>
      </c>
      <c r="D41" t="s">
        <v>26</v>
      </c>
      <c r="E41">
        <v>7</v>
      </c>
      <c r="F41">
        <v>575</v>
      </c>
      <c r="G41">
        <v>200</v>
      </c>
      <c r="H41">
        <v>70</v>
      </c>
      <c r="I41">
        <v>14000</v>
      </c>
      <c r="J41">
        <v>2100</v>
      </c>
      <c r="K41">
        <v>16100</v>
      </c>
    </row>
    <row r="42" spans="1:11" x14ac:dyDescent="0.25">
      <c r="A42" s="1">
        <v>45829</v>
      </c>
      <c r="B42" t="s">
        <v>44</v>
      </c>
      <c r="C42" t="s">
        <v>23</v>
      </c>
      <c r="D42" t="s">
        <v>26</v>
      </c>
      <c r="E42">
        <v>7</v>
      </c>
      <c r="F42">
        <v>575</v>
      </c>
      <c r="G42">
        <v>200</v>
      </c>
      <c r="H42">
        <v>70</v>
      </c>
      <c r="I42">
        <v>14000</v>
      </c>
      <c r="J42">
        <v>2100</v>
      </c>
      <c r="K42">
        <v>16100</v>
      </c>
    </row>
    <row r="43" spans="1:11" x14ac:dyDescent="0.25">
      <c r="A43" s="1">
        <v>45829</v>
      </c>
      <c r="B43" t="s">
        <v>44</v>
      </c>
      <c r="C43" t="s">
        <v>37</v>
      </c>
      <c r="D43" t="s">
        <v>26</v>
      </c>
      <c r="E43">
        <v>7</v>
      </c>
      <c r="F43">
        <v>575</v>
      </c>
      <c r="G43">
        <v>200</v>
      </c>
      <c r="H43">
        <v>70</v>
      </c>
      <c r="I43">
        <v>14000</v>
      </c>
      <c r="J43">
        <v>2100</v>
      </c>
      <c r="K43">
        <v>16100</v>
      </c>
    </row>
    <row r="44" spans="1:11" x14ac:dyDescent="0.25">
      <c r="A44" s="1">
        <v>45829</v>
      </c>
      <c r="B44" t="s">
        <v>44</v>
      </c>
      <c r="C44" t="s">
        <v>29</v>
      </c>
      <c r="D44" t="s">
        <v>26</v>
      </c>
      <c r="E44">
        <v>7</v>
      </c>
      <c r="F44">
        <v>575</v>
      </c>
      <c r="G44">
        <v>37</v>
      </c>
      <c r="H44">
        <v>70</v>
      </c>
      <c r="I44">
        <v>2590</v>
      </c>
      <c r="J44">
        <v>388.5</v>
      </c>
      <c r="K44">
        <v>2978.5</v>
      </c>
    </row>
    <row r="45" spans="1:11" x14ac:dyDescent="0.25">
      <c r="A45" s="1">
        <v>45829</v>
      </c>
      <c r="B45" t="s">
        <v>44</v>
      </c>
      <c r="C45" t="s">
        <v>56</v>
      </c>
      <c r="D45" t="s">
        <v>26</v>
      </c>
      <c r="E45">
        <v>7</v>
      </c>
      <c r="F45">
        <v>575</v>
      </c>
      <c r="G45">
        <v>610</v>
      </c>
      <c r="H45">
        <v>70</v>
      </c>
      <c r="I45">
        <v>42700</v>
      </c>
      <c r="J45">
        <v>6405</v>
      </c>
      <c r="K45">
        <v>49105</v>
      </c>
    </row>
    <row r="46" spans="1:11" x14ac:dyDescent="0.25">
      <c r="A46" s="1">
        <v>45829</v>
      </c>
      <c r="B46" t="s">
        <v>44</v>
      </c>
      <c r="C46" t="s">
        <v>54</v>
      </c>
      <c r="D46" t="s">
        <v>19</v>
      </c>
      <c r="E46">
        <v>2</v>
      </c>
      <c r="F46">
        <v>270</v>
      </c>
      <c r="G46">
        <v>1.6875</v>
      </c>
      <c r="H46">
        <v>2000</v>
      </c>
      <c r="I46">
        <v>3375</v>
      </c>
      <c r="J46">
        <v>506.25</v>
      </c>
      <c r="K46">
        <v>3881.25</v>
      </c>
    </row>
    <row r="47" spans="1:11" x14ac:dyDescent="0.25">
      <c r="A47" s="1">
        <v>45829</v>
      </c>
      <c r="B47" t="s">
        <v>44</v>
      </c>
      <c r="C47" t="s">
        <v>35</v>
      </c>
      <c r="D47" t="s">
        <v>57</v>
      </c>
      <c r="E47">
        <v>3</v>
      </c>
      <c r="F47">
        <v>44</v>
      </c>
      <c r="G47">
        <v>44</v>
      </c>
      <c r="H47">
        <v>70</v>
      </c>
      <c r="I47">
        <v>3080</v>
      </c>
      <c r="J47">
        <v>462</v>
      </c>
      <c r="K47">
        <v>3542</v>
      </c>
    </row>
    <row r="48" spans="1:11" x14ac:dyDescent="0.25">
      <c r="A48" s="1">
        <v>45829</v>
      </c>
      <c r="B48" t="s">
        <v>44</v>
      </c>
      <c r="C48" t="s">
        <v>55</v>
      </c>
      <c r="D48" t="s">
        <v>57</v>
      </c>
      <c r="E48">
        <v>8</v>
      </c>
      <c r="F48">
        <v>270</v>
      </c>
      <c r="G48">
        <v>270</v>
      </c>
      <c r="H48">
        <v>70</v>
      </c>
      <c r="I48">
        <v>18900</v>
      </c>
      <c r="J48">
        <v>2835</v>
      </c>
      <c r="K48">
        <v>21735</v>
      </c>
    </row>
    <row r="49" spans="1:11" x14ac:dyDescent="0.25">
      <c r="A49" s="1">
        <v>45829</v>
      </c>
      <c r="B49" t="s">
        <v>44</v>
      </c>
      <c r="C49" t="s">
        <v>29</v>
      </c>
      <c r="D49" t="s">
        <v>26</v>
      </c>
      <c r="E49">
        <v>6</v>
      </c>
      <c r="F49">
        <v>130</v>
      </c>
      <c r="G49">
        <v>60</v>
      </c>
      <c r="H49">
        <v>70</v>
      </c>
      <c r="I49">
        <v>4200</v>
      </c>
      <c r="J49">
        <v>630</v>
      </c>
      <c r="K49">
        <v>4830</v>
      </c>
    </row>
    <row r="50" spans="1:11" x14ac:dyDescent="0.25">
      <c r="A50" s="1">
        <v>45829</v>
      </c>
      <c r="B50" t="s">
        <v>58</v>
      </c>
      <c r="C50" t="s">
        <v>40</v>
      </c>
      <c r="D50" t="s">
        <v>59</v>
      </c>
      <c r="E50">
        <v>5</v>
      </c>
      <c r="F50">
        <v>22</v>
      </c>
      <c r="G50">
        <v>22</v>
      </c>
      <c r="H50">
        <v>3500</v>
      </c>
      <c r="I50">
        <v>77000</v>
      </c>
      <c r="J50">
        <v>11550</v>
      </c>
      <c r="K50">
        <v>88550</v>
      </c>
    </row>
    <row r="51" spans="1:11" x14ac:dyDescent="0.25">
      <c r="A51" s="1">
        <v>45829</v>
      </c>
      <c r="B51" t="s">
        <v>39</v>
      </c>
      <c r="C51" t="s">
        <v>38</v>
      </c>
      <c r="D51" t="s">
        <v>17</v>
      </c>
      <c r="E51">
        <v>2</v>
      </c>
      <c r="F51">
        <v>0</v>
      </c>
      <c r="G51">
        <v>2</v>
      </c>
      <c r="H51">
        <v>2500</v>
      </c>
      <c r="I51">
        <v>5000</v>
      </c>
      <c r="J51">
        <v>750</v>
      </c>
      <c r="K51">
        <v>5750</v>
      </c>
    </row>
    <row r="52" spans="1:11" x14ac:dyDescent="0.25">
      <c r="A52" s="1">
        <v>45829</v>
      </c>
      <c r="B52" t="s">
        <v>60</v>
      </c>
      <c r="C52" t="s">
        <v>61</v>
      </c>
      <c r="D52" t="s">
        <v>19</v>
      </c>
      <c r="E52">
        <v>9</v>
      </c>
      <c r="F52">
        <v>19.16</v>
      </c>
      <c r="G52">
        <v>19.16</v>
      </c>
      <c r="H52">
        <v>2400</v>
      </c>
      <c r="I52">
        <v>45984</v>
      </c>
      <c r="J52">
        <v>6897.6</v>
      </c>
      <c r="K52">
        <v>52881.599999999999</v>
      </c>
    </row>
    <row r="53" spans="1:11" x14ac:dyDescent="0.25">
      <c r="A53" s="1">
        <v>45829</v>
      </c>
      <c r="B53" t="s">
        <v>60</v>
      </c>
      <c r="C53" t="s">
        <v>62</v>
      </c>
      <c r="D53" t="s">
        <v>63</v>
      </c>
      <c r="E53">
        <v>4</v>
      </c>
      <c r="F53">
        <v>11.2</v>
      </c>
      <c r="G53">
        <v>11.12</v>
      </c>
      <c r="H53">
        <v>2400</v>
      </c>
      <c r="I53">
        <v>26688</v>
      </c>
      <c r="J53">
        <v>4003.2</v>
      </c>
      <c r="K53">
        <v>30691.200000000001</v>
      </c>
    </row>
    <row r="54" spans="1:11" x14ac:dyDescent="0.25">
      <c r="A54" s="1">
        <v>45829</v>
      </c>
      <c r="B54" t="s">
        <v>60</v>
      </c>
      <c r="C54" t="s">
        <v>64</v>
      </c>
      <c r="D54" t="s">
        <v>26</v>
      </c>
      <c r="E54">
        <v>2</v>
      </c>
      <c r="F54">
        <v>16.27</v>
      </c>
      <c r="G54">
        <v>16.27</v>
      </c>
      <c r="H54">
        <v>2400</v>
      </c>
      <c r="I54">
        <v>39048</v>
      </c>
      <c r="J54">
        <v>5857.2</v>
      </c>
      <c r="K54">
        <v>44905.2</v>
      </c>
    </row>
    <row r="55" spans="1:11" x14ac:dyDescent="0.25">
      <c r="A55" s="1">
        <v>45829</v>
      </c>
      <c r="B55" t="s">
        <v>65</v>
      </c>
      <c r="C55" t="s">
        <v>66</v>
      </c>
      <c r="D55" t="s">
        <v>32</v>
      </c>
      <c r="E55">
        <v>10</v>
      </c>
      <c r="F55">
        <v>309</v>
      </c>
      <c r="G55">
        <v>309</v>
      </c>
      <c r="H55">
        <v>70</v>
      </c>
      <c r="I55">
        <v>21630</v>
      </c>
      <c r="J55">
        <v>3244.5</v>
      </c>
      <c r="K55">
        <v>24874.5</v>
      </c>
    </row>
    <row r="56" spans="1:11" x14ac:dyDescent="0.25">
      <c r="A56" s="1">
        <v>45831</v>
      </c>
      <c r="B56" t="s">
        <v>65</v>
      </c>
      <c r="C56" t="s">
        <v>67</v>
      </c>
      <c r="D56" t="s">
        <v>17</v>
      </c>
      <c r="E56">
        <v>6</v>
      </c>
      <c r="F56">
        <v>124</v>
      </c>
      <c r="G56">
        <v>124</v>
      </c>
      <c r="H56">
        <v>70</v>
      </c>
      <c r="I56">
        <v>8680</v>
      </c>
      <c r="J56">
        <v>1302</v>
      </c>
      <c r="K56">
        <v>9982</v>
      </c>
    </row>
    <row r="57" spans="1:11" x14ac:dyDescent="0.25">
      <c r="A57" s="1">
        <v>45829</v>
      </c>
      <c r="B57" t="s">
        <v>65</v>
      </c>
      <c r="C57" t="s">
        <v>68</v>
      </c>
      <c r="D57" t="s">
        <v>14</v>
      </c>
      <c r="E57">
        <v>3</v>
      </c>
      <c r="F57">
        <v>1546</v>
      </c>
      <c r="G57">
        <v>1546</v>
      </c>
      <c r="H57">
        <v>70</v>
      </c>
      <c r="I57">
        <v>108220</v>
      </c>
      <c r="J57">
        <v>16233</v>
      </c>
      <c r="K57">
        <v>124453</v>
      </c>
    </row>
    <row r="58" spans="1:11" x14ac:dyDescent="0.25">
      <c r="A58" s="1">
        <v>45832</v>
      </c>
      <c r="B58" t="s">
        <v>65</v>
      </c>
      <c r="C58" t="s">
        <v>67</v>
      </c>
      <c r="D58" t="s">
        <v>24</v>
      </c>
      <c r="E58">
        <v>15</v>
      </c>
      <c r="F58">
        <v>1570</v>
      </c>
      <c r="G58">
        <v>1570</v>
      </c>
      <c r="H58">
        <v>70</v>
      </c>
      <c r="I58">
        <v>109900</v>
      </c>
      <c r="J58">
        <v>16485</v>
      </c>
      <c r="K58">
        <v>126385</v>
      </c>
    </row>
    <row r="59" spans="1:11" x14ac:dyDescent="0.25">
      <c r="A59" s="1">
        <v>45829</v>
      </c>
      <c r="B59" t="s">
        <v>65</v>
      </c>
      <c r="C59" t="s">
        <v>68</v>
      </c>
      <c r="D59" t="s">
        <v>59</v>
      </c>
      <c r="E59">
        <v>31</v>
      </c>
      <c r="F59">
        <v>1083</v>
      </c>
      <c r="G59">
        <v>800</v>
      </c>
      <c r="H59">
        <v>70</v>
      </c>
      <c r="I59">
        <v>56000</v>
      </c>
      <c r="J59">
        <v>8400</v>
      </c>
      <c r="K59">
        <v>64400</v>
      </c>
    </row>
    <row r="60" spans="1:11" x14ac:dyDescent="0.25">
      <c r="A60" s="1">
        <v>45829</v>
      </c>
      <c r="B60" t="s">
        <v>65</v>
      </c>
      <c r="C60" t="s">
        <v>69</v>
      </c>
      <c r="D60" t="s">
        <v>59</v>
      </c>
      <c r="E60">
        <v>4</v>
      </c>
      <c r="F60">
        <v>448</v>
      </c>
      <c r="G60">
        <v>400</v>
      </c>
      <c r="H60">
        <v>70</v>
      </c>
      <c r="I60">
        <v>28000</v>
      </c>
      <c r="J60">
        <v>4200</v>
      </c>
      <c r="K60">
        <v>32200</v>
      </c>
    </row>
    <row r="61" spans="1:11" x14ac:dyDescent="0.25">
      <c r="A61" s="1">
        <v>45829</v>
      </c>
      <c r="B61" t="s">
        <v>70</v>
      </c>
      <c r="C61" t="s">
        <v>40</v>
      </c>
      <c r="D61" t="s">
        <v>27</v>
      </c>
      <c r="E61">
        <v>7</v>
      </c>
      <c r="F61">
        <v>2467</v>
      </c>
      <c r="G61">
        <v>2467</v>
      </c>
      <c r="H61">
        <v>90</v>
      </c>
      <c r="I61">
        <v>222030</v>
      </c>
      <c r="J61">
        <v>33304.5</v>
      </c>
      <c r="K61">
        <v>255334.5</v>
      </c>
    </row>
    <row r="62" spans="1:11" x14ac:dyDescent="0.25">
      <c r="A62" s="1">
        <v>45829</v>
      </c>
      <c r="B62" t="s">
        <v>70</v>
      </c>
      <c r="C62" t="s">
        <v>71</v>
      </c>
      <c r="D62" t="s">
        <v>11</v>
      </c>
      <c r="E62">
        <v>8</v>
      </c>
      <c r="F62">
        <v>2980</v>
      </c>
      <c r="G62">
        <v>2980</v>
      </c>
      <c r="H62">
        <v>90</v>
      </c>
      <c r="I62">
        <v>268200</v>
      </c>
      <c r="J62">
        <v>40230</v>
      </c>
      <c r="K62">
        <v>308430</v>
      </c>
    </row>
    <row r="63" spans="1:11" x14ac:dyDescent="0.25">
      <c r="A63" s="1">
        <v>45829</v>
      </c>
      <c r="B63" t="s">
        <v>70</v>
      </c>
      <c r="C63" t="s">
        <v>72</v>
      </c>
      <c r="D63" t="s">
        <v>26</v>
      </c>
      <c r="E63">
        <v>7</v>
      </c>
      <c r="F63">
        <v>2483</v>
      </c>
      <c r="G63">
        <v>2483</v>
      </c>
      <c r="H63">
        <v>90</v>
      </c>
      <c r="I63">
        <v>223470</v>
      </c>
      <c r="J63">
        <v>33520.5</v>
      </c>
      <c r="K63">
        <v>256990.5</v>
      </c>
    </row>
    <row r="64" spans="1:11" x14ac:dyDescent="0.25">
      <c r="A64" s="1">
        <v>45829</v>
      </c>
      <c r="B64" t="s">
        <v>73</v>
      </c>
      <c r="C64" t="s">
        <v>46</v>
      </c>
      <c r="D64" t="s">
        <v>74</v>
      </c>
      <c r="E64">
        <v>108</v>
      </c>
      <c r="F64">
        <v>1</v>
      </c>
      <c r="G64">
        <v>108</v>
      </c>
      <c r="H64">
        <v>2000</v>
      </c>
      <c r="I64">
        <v>216000</v>
      </c>
      <c r="J64" t="e">
        <v>#VALUE!</v>
      </c>
      <c r="K64" t="e">
        <v>#VALUE!</v>
      </c>
    </row>
    <row r="65" spans="1:11" x14ac:dyDescent="0.25">
      <c r="A65" s="1">
        <v>45829</v>
      </c>
      <c r="B65" t="s">
        <v>73</v>
      </c>
      <c r="C65" t="s">
        <v>28</v>
      </c>
      <c r="D65" t="s">
        <v>74</v>
      </c>
      <c r="E65">
        <v>26</v>
      </c>
      <c r="F65">
        <v>1</v>
      </c>
      <c r="G65">
        <v>26</v>
      </c>
      <c r="H65">
        <v>2500</v>
      </c>
      <c r="I65">
        <v>65000</v>
      </c>
      <c r="J65" t="e">
        <v>#VALUE!</v>
      </c>
      <c r="K65" t="e">
        <v>#VALUE!</v>
      </c>
    </row>
    <row r="66" spans="1:11" x14ac:dyDescent="0.25">
      <c r="A66" s="1">
        <v>45829</v>
      </c>
      <c r="B66" t="s">
        <v>73</v>
      </c>
      <c r="C66" t="s">
        <v>50</v>
      </c>
      <c r="D66" t="s">
        <v>74</v>
      </c>
      <c r="E66">
        <v>10</v>
      </c>
      <c r="F66">
        <v>1</v>
      </c>
      <c r="G66">
        <v>10</v>
      </c>
      <c r="H66">
        <v>1000</v>
      </c>
      <c r="I66">
        <v>10000</v>
      </c>
      <c r="J66" t="e">
        <v>#VALUE!</v>
      </c>
      <c r="K66" t="e">
        <v>#VALUE!</v>
      </c>
    </row>
    <row r="67" spans="1:11" x14ac:dyDescent="0.25">
      <c r="A67" s="1">
        <v>45829</v>
      </c>
      <c r="B67" t="s">
        <v>75</v>
      </c>
      <c r="C67" t="s">
        <v>76</v>
      </c>
      <c r="D67" t="s">
        <v>17</v>
      </c>
      <c r="E67">
        <v>38</v>
      </c>
      <c r="F67">
        <v>1</v>
      </c>
      <c r="G67">
        <v>38</v>
      </c>
      <c r="H67">
        <v>3000</v>
      </c>
      <c r="I67">
        <v>114000</v>
      </c>
      <c r="J67">
        <v>17100</v>
      </c>
      <c r="K67">
        <v>131100</v>
      </c>
    </row>
    <row r="68" spans="1:11" x14ac:dyDescent="0.25">
      <c r="A68" s="1">
        <v>45831</v>
      </c>
      <c r="B68" t="s">
        <v>9</v>
      </c>
      <c r="C68" t="s">
        <v>77</v>
      </c>
      <c r="D68" t="s">
        <v>11</v>
      </c>
      <c r="E68">
        <v>5</v>
      </c>
      <c r="F68">
        <v>1</v>
      </c>
      <c r="G68">
        <v>5</v>
      </c>
      <c r="H68" s="2">
        <v>3000</v>
      </c>
      <c r="I68">
        <v>15000</v>
      </c>
      <c r="J68">
        <v>2250</v>
      </c>
      <c r="K68">
        <v>17250</v>
      </c>
    </row>
    <row r="69" spans="1:11" x14ac:dyDescent="0.25">
      <c r="A69" s="1">
        <v>45831</v>
      </c>
      <c r="B69" t="s">
        <v>12</v>
      </c>
      <c r="C69" t="s">
        <v>78</v>
      </c>
      <c r="D69" t="s">
        <v>79</v>
      </c>
      <c r="E69">
        <v>5</v>
      </c>
      <c r="F69">
        <v>1</v>
      </c>
      <c r="G69">
        <v>17.690000000000001</v>
      </c>
      <c r="H69" s="2">
        <v>20000</v>
      </c>
      <c r="I69">
        <v>353800</v>
      </c>
      <c r="J69">
        <v>53070</v>
      </c>
      <c r="K69">
        <v>406870</v>
      </c>
    </row>
    <row r="70" spans="1:11" x14ac:dyDescent="0.25">
      <c r="A70" s="1">
        <v>45831</v>
      </c>
      <c r="B70" t="s">
        <v>12</v>
      </c>
      <c r="C70" t="s">
        <v>13</v>
      </c>
      <c r="D70" t="s">
        <v>79</v>
      </c>
      <c r="E70">
        <v>5</v>
      </c>
      <c r="F70">
        <v>1</v>
      </c>
      <c r="G70">
        <v>11.2</v>
      </c>
      <c r="H70">
        <v>20000</v>
      </c>
      <c r="I70">
        <v>224000</v>
      </c>
      <c r="J70">
        <v>33600</v>
      </c>
      <c r="K70">
        <v>257600</v>
      </c>
    </row>
    <row r="71" spans="1:11" x14ac:dyDescent="0.25">
      <c r="A71" s="1">
        <v>45831</v>
      </c>
      <c r="B71" t="s">
        <v>20</v>
      </c>
      <c r="C71" t="s">
        <v>66</v>
      </c>
      <c r="D71" t="s">
        <v>22</v>
      </c>
      <c r="E71">
        <v>7</v>
      </c>
      <c r="F71">
        <v>450</v>
      </c>
      <c r="G71">
        <v>450</v>
      </c>
      <c r="H71">
        <v>90</v>
      </c>
      <c r="I71">
        <v>40500</v>
      </c>
      <c r="J71">
        <v>6075</v>
      </c>
      <c r="K71">
        <v>46575</v>
      </c>
    </row>
    <row r="72" spans="1:11" x14ac:dyDescent="0.25">
      <c r="A72" s="1">
        <v>45831</v>
      </c>
      <c r="B72" t="s">
        <v>20</v>
      </c>
      <c r="C72" t="s">
        <v>25</v>
      </c>
      <c r="D72" t="s">
        <v>24</v>
      </c>
      <c r="E72">
        <v>5</v>
      </c>
      <c r="F72">
        <v>437</v>
      </c>
      <c r="G72">
        <v>437</v>
      </c>
      <c r="H72">
        <v>90</v>
      </c>
      <c r="I72">
        <v>39330</v>
      </c>
      <c r="J72">
        <v>5899.5</v>
      </c>
      <c r="K72">
        <v>45229.5</v>
      </c>
    </row>
    <row r="73" spans="1:11" x14ac:dyDescent="0.25">
      <c r="A73" s="1">
        <v>45831</v>
      </c>
      <c r="B73" t="s">
        <v>20</v>
      </c>
      <c r="C73" t="s">
        <v>28</v>
      </c>
      <c r="D73" t="s">
        <v>26</v>
      </c>
      <c r="E73">
        <v>4</v>
      </c>
      <c r="F73">
        <v>304</v>
      </c>
      <c r="G73">
        <v>304</v>
      </c>
      <c r="H73">
        <v>90</v>
      </c>
      <c r="I73">
        <v>27360</v>
      </c>
      <c r="J73">
        <v>4104</v>
      </c>
      <c r="K73">
        <v>31464</v>
      </c>
    </row>
    <row r="74" spans="1:11" x14ac:dyDescent="0.25">
      <c r="A74" s="1">
        <v>45831</v>
      </c>
      <c r="B74" t="s">
        <v>20</v>
      </c>
      <c r="C74" t="s">
        <v>66</v>
      </c>
      <c r="D74" t="s">
        <v>27</v>
      </c>
      <c r="E74">
        <v>1</v>
      </c>
      <c r="F74">
        <v>41</v>
      </c>
      <c r="G74">
        <v>41</v>
      </c>
      <c r="H74">
        <v>90</v>
      </c>
      <c r="I74">
        <v>3690</v>
      </c>
      <c r="J74">
        <v>553.5</v>
      </c>
      <c r="K74">
        <v>4243.5</v>
      </c>
    </row>
    <row r="75" spans="1:11" x14ac:dyDescent="0.25">
      <c r="A75" s="1">
        <v>45831</v>
      </c>
      <c r="B75" t="s">
        <v>20</v>
      </c>
      <c r="C75" t="s">
        <v>21</v>
      </c>
      <c r="D75" t="s">
        <v>24</v>
      </c>
      <c r="E75">
        <v>15</v>
      </c>
      <c r="F75">
        <v>461</v>
      </c>
      <c r="G75">
        <v>461</v>
      </c>
      <c r="H75">
        <v>90</v>
      </c>
      <c r="I75">
        <v>41490</v>
      </c>
      <c r="J75">
        <v>6223.5</v>
      </c>
      <c r="K75">
        <v>47713.5</v>
      </c>
    </row>
    <row r="76" spans="1:11" x14ac:dyDescent="0.25">
      <c r="A76" s="1">
        <v>45831</v>
      </c>
      <c r="B76" t="s">
        <v>80</v>
      </c>
      <c r="C76" t="s">
        <v>37</v>
      </c>
      <c r="D76" t="s">
        <v>26</v>
      </c>
      <c r="E76">
        <v>11</v>
      </c>
      <c r="F76">
        <v>555</v>
      </c>
      <c r="G76">
        <v>555</v>
      </c>
      <c r="H76">
        <v>70</v>
      </c>
      <c r="I76">
        <v>38850</v>
      </c>
      <c r="J76">
        <v>5827.5</v>
      </c>
      <c r="K76">
        <v>44677.5</v>
      </c>
    </row>
    <row r="77" spans="1:11" x14ac:dyDescent="0.25">
      <c r="A77" s="1">
        <v>45831</v>
      </c>
      <c r="B77" t="s">
        <v>80</v>
      </c>
      <c r="C77" t="s">
        <v>81</v>
      </c>
      <c r="D77" t="s">
        <v>26</v>
      </c>
      <c r="E77">
        <v>6</v>
      </c>
      <c r="F77">
        <v>777</v>
      </c>
      <c r="G77">
        <v>777</v>
      </c>
      <c r="H77">
        <v>70</v>
      </c>
      <c r="I77">
        <v>54390</v>
      </c>
      <c r="J77">
        <v>8158.5</v>
      </c>
      <c r="K77">
        <v>62548.5</v>
      </c>
    </row>
    <row r="78" spans="1:11" x14ac:dyDescent="0.25">
      <c r="A78" s="1">
        <v>45831</v>
      </c>
      <c r="B78" t="s">
        <v>82</v>
      </c>
      <c r="C78" t="s">
        <v>83</v>
      </c>
      <c r="D78" t="s">
        <v>19</v>
      </c>
      <c r="E78">
        <v>4</v>
      </c>
      <c r="F78">
        <v>0</v>
      </c>
      <c r="G78">
        <v>4</v>
      </c>
      <c r="H78">
        <v>2500</v>
      </c>
      <c r="I78">
        <v>10000</v>
      </c>
      <c r="J78">
        <v>1500</v>
      </c>
      <c r="K78">
        <v>11500</v>
      </c>
    </row>
    <row r="79" spans="1:11" x14ac:dyDescent="0.25">
      <c r="A79" s="1">
        <v>45829</v>
      </c>
      <c r="B79" t="s">
        <v>34</v>
      </c>
      <c r="C79" t="s">
        <v>84</v>
      </c>
      <c r="D79" t="s">
        <v>17</v>
      </c>
      <c r="E79">
        <v>4</v>
      </c>
      <c r="F79">
        <v>571</v>
      </c>
      <c r="G79">
        <v>1000</v>
      </c>
      <c r="H79">
        <v>12</v>
      </c>
      <c r="I79">
        <v>12000</v>
      </c>
      <c r="J79">
        <v>1800</v>
      </c>
      <c r="K79">
        <v>13800</v>
      </c>
    </row>
    <row r="80" spans="1:11" x14ac:dyDescent="0.25">
      <c r="A80" s="1">
        <v>45829</v>
      </c>
      <c r="B80" t="s">
        <v>34</v>
      </c>
      <c r="C80" t="s">
        <v>85</v>
      </c>
      <c r="D80" t="s">
        <v>19</v>
      </c>
      <c r="E80">
        <v>3</v>
      </c>
      <c r="F80">
        <v>509</v>
      </c>
      <c r="G80">
        <v>123</v>
      </c>
      <c r="H80">
        <v>12</v>
      </c>
      <c r="I80">
        <v>1476</v>
      </c>
      <c r="J80">
        <v>221.4</v>
      </c>
      <c r="K80">
        <v>1697.4</v>
      </c>
    </row>
    <row r="81" spans="1:11" x14ac:dyDescent="0.25">
      <c r="A81" s="1">
        <v>45829</v>
      </c>
      <c r="B81" t="s">
        <v>34</v>
      </c>
      <c r="C81" t="s">
        <v>66</v>
      </c>
      <c r="D81" t="s">
        <v>17</v>
      </c>
      <c r="E81">
        <v>3</v>
      </c>
      <c r="F81">
        <v>1130</v>
      </c>
      <c r="G81">
        <v>760</v>
      </c>
      <c r="H81">
        <v>12</v>
      </c>
      <c r="I81">
        <v>9120</v>
      </c>
      <c r="J81">
        <v>1368</v>
      </c>
      <c r="K81">
        <v>10488</v>
      </c>
    </row>
    <row r="82" spans="1:11" x14ac:dyDescent="0.25">
      <c r="A82" s="1">
        <v>45829</v>
      </c>
      <c r="B82" t="s">
        <v>34</v>
      </c>
      <c r="C82" t="s">
        <v>84</v>
      </c>
      <c r="D82" t="s">
        <v>19</v>
      </c>
      <c r="E82">
        <v>4</v>
      </c>
      <c r="F82">
        <v>1230</v>
      </c>
      <c r="G82">
        <v>500</v>
      </c>
      <c r="H82">
        <v>12</v>
      </c>
      <c r="I82">
        <v>6000</v>
      </c>
      <c r="J82">
        <v>900</v>
      </c>
      <c r="K82">
        <v>6900</v>
      </c>
    </row>
    <row r="83" spans="1:11" x14ac:dyDescent="0.25">
      <c r="A83" s="1">
        <v>45829</v>
      </c>
      <c r="B83" t="s">
        <v>34</v>
      </c>
      <c r="C83" t="s">
        <v>21</v>
      </c>
      <c r="D83" t="s">
        <v>24</v>
      </c>
      <c r="E83">
        <v>2</v>
      </c>
      <c r="F83">
        <v>344</v>
      </c>
      <c r="G83">
        <v>344</v>
      </c>
      <c r="H83">
        <v>12</v>
      </c>
      <c r="I83">
        <v>4128</v>
      </c>
      <c r="J83">
        <v>619.20000000000005</v>
      </c>
      <c r="K83">
        <v>4747.2</v>
      </c>
    </row>
    <row r="84" spans="1:11" x14ac:dyDescent="0.25">
      <c r="A84" s="1">
        <v>45829</v>
      </c>
      <c r="B84" t="s">
        <v>34</v>
      </c>
      <c r="C84" t="s">
        <v>21</v>
      </c>
      <c r="D84" t="s">
        <v>17</v>
      </c>
      <c r="E84">
        <v>5</v>
      </c>
      <c r="F84">
        <v>2804</v>
      </c>
      <c r="G84">
        <v>1000</v>
      </c>
      <c r="H84">
        <v>12</v>
      </c>
      <c r="I84">
        <v>12000</v>
      </c>
      <c r="J84">
        <v>1800</v>
      </c>
      <c r="K84">
        <v>13800</v>
      </c>
    </row>
    <row r="85" spans="1:11" x14ac:dyDescent="0.25">
      <c r="A85" s="1">
        <v>45829</v>
      </c>
      <c r="B85" t="s">
        <v>34</v>
      </c>
      <c r="C85" t="s">
        <v>66</v>
      </c>
      <c r="D85" t="s">
        <v>19</v>
      </c>
      <c r="E85">
        <v>2</v>
      </c>
      <c r="F85">
        <v>123</v>
      </c>
      <c r="G85">
        <v>539</v>
      </c>
      <c r="H85">
        <v>12</v>
      </c>
      <c r="I85">
        <v>6468</v>
      </c>
      <c r="J85">
        <v>970.2</v>
      </c>
      <c r="K85">
        <v>7438.2</v>
      </c>
    </row>
    <row r="86" spans="1:11" x14ac:dyDescent="0.25">
      <c r="A86" s="1">
        <v>45829</v>
      </c>
      <c r="B86" t="s">
        <v>34</v>
      </c>
      <c r="C86" t="s">
        <v>85</v>
      </c>
      <c r="D86" t="s">
        <v>24</v>
      </c>
      <c r="E86">
        <v>1</v>
      </c>
      <c r="F86">
        <v>23</v>
      </c>
      <c r="G86">
        <v>23</v>
      </c>
      <c r="H86">
        <v>12</v>
      </c>
      <c r="I86">
        <v>276</v>
      </c>
      <c r="J86">
        <v>41.4</v>
      </c>
      <c r="K86">
        <v>317.39999999999998</v>
      </c>
    </row>
    <row r="87" spans="1:11" x14ac:dyDescent="0.25">
      <c r="A87" s="1">
        <v>45831</v>
      </c>
      <c r="B87" t="s">
        <v>34</v>
      </c>
      <c r="C87" t="s">
        <v>43</v>
      </c>
      <c r="D87" t="s">
        <v>17</v>
      </c>
      <c r="E87">
        <v>3</v>
      </c>
      <c r="F87">
        <v>1189</v>
      </c>
      <c r="G87">
        <v>1762</v>
      </c>
      <c r="H87">
        <v>12</v>
      </c>
      <c r="I87">
        <v>21144</v>
      </c>
      <c r="J87">
        <v>3171.6</v>
      </c>
      <c r="K87">
        <v>24315.599999999999</v>
      </c>
    </row>
    <row r="88" spans="1:11" x14ac:dyDescent="0.25">
      <c r="A88" s="1">
        <v>45831</v>
      </c>
      <c r="B88" t="s">
        <v>34</v>
      </c>
      <c r="C88" t="s">
        <v>21</v>
      </c>
      <c r="D88" t="s">
        <v>19</v>
      </c>
      <c r="E88">
        <v>2</v>
      </c>
      <c r="F88">
        <v>164</v>
      </c>
      <c r="G88">
        <v>1000</v>
      </c>
      <c r="H88">
        <v>12</v>
      </c>
      <c r="I88">
        <v>12000</v>
      </c>
      <c r="J88">
        <v>1800</v>
      </c>
      <c r="K88">
        <v>13800</v>
      </c>
    </row>
    <row r="89" spans="1:11" x14ac:dyDescent="0.25">
      <c r="A89" s="1">
        <v>45831</v>
      </c>
      <c r="B89" t="s">
        <v>34</v>
      </c>
      <c r="C89" t="s">
        <v>85</v>
      </c>
      <c r="D89" t="s">
        <v>17</v>
      </c>
      <c r="E89">
        <v>3</v>
      </c>
      <c r="F89">
        <v>508</v>
      </c>
      <c r="G89">
        <v>2000</v>
      </c>
      <c r="H89">
        <v>12</v>
      </c>
      <c r="I89">
        <v>24000</v>
      </c>
      <c r="J89">
        <v>3600</v>
      </c>
      <c r="K89">
        <v>27600</v>
      </c>
    </row>
    <row r="90" spans="1:11" x14ac:dyDescent="0.25">
      <c r="A90" s="1">
        <v>45831</v>
      </c>
      <c r="B90" t="s">
        <v>34</v>
      </c>
      <c r="C90" t="s">
        <v>43</v>
      </c>
      <c r="D90" t="s">
        <v>19</v>
      </c>
      <c r="E90">
        <v>3</v>
      </c>
      <c r="F90">
        <v>227</v>
      </c>
      <c r="G90">
        <v>520</v>
      </c>
      <c r="H90">
        <v>12</v>
      </c>
      <c r="I90">
        <v>6240</v>
      </c>
      <c r="J90">
        <v>936</v>
      </c>
      <c r="K90">
        <v>7176</v>
      </c>
    </row>
    <row r="91" spans="1:11" x14ac:dyDescent="0.25">
      <c r="A91" s="1">
        <v>45831</v>
      </c>
      <c r="B91" t="s">
        <v>34</v>
      </c>
      <c r="C91" t="s">
        <v>35</v>
      </c>
      <c r="D91" t="s">
        <v>24</v>
      </c>
      <c r="E91">
        <v>6</v>
      </c>
      <c r="F91">
        <v>280</v>
      </c>
      <c r="G91">
        <v>280</v>
      </c>
      <c r="H91">
        <v>12</v>
      </c>
      <c r="I91">
        <v>3360</v>
      </c>
      <c r="J91">
        <v>504</v>
      </c>
      <c r="K91">
        <v>3864</v>
      </c>
    </row>
    <row r="92" spans="1:11" x14ac:dyDescent="0.25">
      <c r="A92" s="1">
        <v>45831</v>
      </c>
      <c r="B92" t="s">
        <v>39</v>
      </c>
      <c r="C92" t="s">
        <v>86</v>
      </c>
      <c r="D92" t="s">
        <v>27</v>
      </c>
      <c r="E92">
        <v>5</v>
      </c>
      <c r="F92">
        <v>3</v>
      </c>
      <c r="G92">
        <v>3</v>
      </c>
      <c r="H92">
        <v>2500</v>
      </c>
      <c r="I92">
        <v>7500</v>
      </c>
      <c r="J92">
        <v>1125</v>
      </c>
      <c r="K92">
        <v>8625</v>
      </c>
    </row>
    <row r="93" spans="1:11" x14ac:dyDescent="0.25">
      <c r="A93" s="1">
        <v>45831</v>
      </c>
      <c r="B93" t="s">
        <v>36</v>
      </c>
      <c r="C93" t="s">
        <v>29</v>
      </c>
      <c r="D93" t="s">
        <v>32</v>
      </c>
      <c r="E93">
        <v>7</v>
      </c>
      <c r="F93">
        <v>56</v>
      </c>
      <c r="G93">
        <v>10</v>
      </c>
      <c r="H93">
        <v>2400</v>
      </c>
      <c r="I93">
        <v>24000</v>
      </c>
      <c r="J93">
        <v>3600</v>
      </c>
      <c r="K93">
        <v>27600</v>
      </c>
    </row>
    <row r="94" spans="1:11" x14ac:dyDescent="0.25">
      <c r="A94" s="1">
        <v>45831</v>
      </c>
      <c r="B94" t="s">
        <v>36</v>
      </c>
      <c r="C94" t="s">
        <v>72</v>
      </c>
      <c r="D94" t="s">
        <v>17</v>
      </c>
      <c r="E94">
        <v>7</v>
      </c>
      <c r="G94">
        <v>10</v>
      </c>
      <c r="H94">
        <v>2400</v>
      </c>
      <c r="I94">
        <v>24000</v>
      </c>
      <c r="J94">
        <v>3600</v>
      </c>
      <c r="K94">
        <v>27600</v>
      </c>
    </row>
    <row r="95" spans="1:11" x14ac:dyDescent="0.25">
      <c r="A95" s="1">
        <v>45831</v>
      </c>
      <c r="B95" t="s">
        <v>36</v>
      </c>
      <c r="C95" t="s">
        <v>52</v>
      </c>
      <c r="D95" t="s">
        <v>24</v>
      </c>
      <c r="E95">
        <v>8</v>
      </c>
      <c r="F95">
        <v>5</v>
      </c>
      <c r="G95">
        <v>20</v>
      </c>
      <c r="H95">
        <v>2400</v>
      </c>
      <c r="I95">
        <v>48000</v>
      </c>
      <c r="J95">
        <v>7200</v>
      </c>
      <c r="K95">
        <v>55200</v>
      </c>
    </row>
    <row r="96" spans="1:11" x14ac:dyDescent="0.25">
      <c r="A96" s="1">
        <v>45831</v>
      </c>
      <c r="B96" t="s">
        <v>42</v>
      </c>
      <c r="C96" t="s">
        <v>66</v>
      </c>
      <c r="D96" t="s">
        <v>17</v>
      </c>
      <c r="E96">
        <v>15</v>
      </c>
      <c r="F96">
        <v>420</v>
      </c>
      <c r="G96">
        <v>420</v>
      </c>
      <c r="H96">
        <v>70</v>
      </c>
      <c r="I96">
        <v>29400</v>
      </c>
      <c r="J96">
        <v>4410</v>
      </c>
      <c r="K96">
        <v>33810</v>
      </c>
    </row>
    <row r="97" spans="1:11" x14ac:dyDescent="0.25">
      <c r="A97" s="1">
        <v>45836</v>
      </c>
      <c r="B97" t="s">
        <v>42</v>
      </c>
      <c r="C97" t="s">
        <v>67</v>
      </c>
      <c r="D97" t="s">
        <v>26</v>
      </c>
      <c r="E97">
        <v>3</v>
      </c>
      <c r="F97">
        <v>393</v>
      </c>
      <c r="G97">
        <v>393</v>
      </c>
      <c r="H97">
        <v>70</v>
      </c>
      <c r="I97">
        <v>27510</v>
      </c>
      <c r="J97">
        <v>4126.5</v>
      </c>
      <c r="K97">
        <v>31636.5</v>
      </c>
    </row>
    <row r="98" spans="1:11" x14ac:dyDescent="0.25">
      <c r="A98" s="1">
        <v>45831</v>
      </c>
      <c r="B98" t="s">
        <v>42</v>
      </c>
      <c r="C98" t="s">
        <v>43</v>
      </c>
      <c r="D98" t="s">
        <v>32</v>
      </c>
      <c r="E98">
        <v>7</v>
      </c>
      <c r="F98">
        <v>444</v>
      </c>
      <c r="G98">
        <v>444</v>
      </c>
      <c r="H98">
        <v>70</v>
      </c>
      <c r="I98">
        <v>31080</v>
      </c>
      <c r="J98">
        <v>4662</v>
      </c>
      <c r="K98">
        <v>35742</v>
      </c>
    </row>
    <row r="99" spans="1:11" x14ac:dyDescent="0.25">
      <c r="A99" s="1">
        <v>45836</v>
      </c>
      <c r="B99" t="s">
        <v>42</v>
      </c>
      <c r="C99" t="s">
        <v>29</v>
      </c>
      <c r="D99" t="s">
        <v>26</v>
      </c>
      <c r="E99">
        <v>1</v>
      </c>
      <c r="F99">
        <v>2231</v>
      </c>
      <c r="G99">
        <v>2231</v>
      </c>
      <c r="H99">
        <v>70</v>
      </c>
      <c r="I99">
        <v>156170</v>
      </c>
      <c r="J99">
        <v>23425.5</v>
      </c>
      <c r="K99">
        <v>179595.5</v>
      </c>
    </row>
    <row r="100" spans="1:11" x14ac:dyDescent="0.25">
      <c r="A100" s="1">
        <v>45831</v>
      </c>
      <c r="B100" t="s">
        <v>44</v>
      </c>
      <c r="C100" t="s">
        <v>41</v>
      </c>
      <c r="D100" t="s">
        <v>57</v>
      </c>
      <c r="E100">
        <v>3</v>
      </c>
      <c r="F100">
        <v>534</v>
      </c>
      <c r="G100">
        <v>534</v>
      </c>
      <c r="H100">
        <v>70</v>
      </c>
      <c r="I100">
        <v>37380</v>
      </c>
      <c r="J100">
        <v>5607</v>
      </c>
      <c r="K100">
        <v>42987</v>
      </c>
    </row>
    <row r="101" spans="1:11" x14ac:dyDescent="0.25">
      <c r="A101" s="1">
        <v>45831</v>
      </c>
      <c r="B101" t="s">
        <v>44</v>
      </c>
      <c r="C101" t="s">
        <v>87</v>
      </c>
      <c r="D101" t="s">
        <v>88</v>
      </c>
      <c r="E101">
        <v>8</v>
      </c>
      <c r="F101">
        <v>360</v>
      </c>
      <c r="G101">
        <v>360</v>
      </c>
      <c r="H101">
        <v>70</v>
      </c>
      <c r="I101">
        <v>25200</v>
      </c>
      <c r="J101">
        <v>3780</v>
      </c>
      <c r="K101">
        <v>28980</v>
      </c>
    </row>
    <row r="102" spans="1:11" x14ac:dyDescent="0.25">
      <c r="A102" s="1">
        <v>45831</v>
      </c>
      <c r="B102" t="s">
        <v>44</v>
      </c>
      <c r="C102" t="s">
        <v>45</v>
      </c>
      <c r="D102" t="s">
        <v>24</v>
      </c>
      <c r="E102">
        <v>13</v>
      </c>
      <c r="F102">
        <v>1598</v>
      </c>
      <c r="G102">
        <v>9.9875000000000007</v>
      </c>
      <c r="H102">
        <v>2000</v>
      </c>
      <c r="I102">
        <v>19975</v>
      </c>
      <c r="J102">
        <v>2996.25</v>
      </c>
      <c r="K102">
        <v>22971.25</v>
      </c>
    </row>
    <row r="103" spans="1:11" x14ac:dyDescent="0.25">
      <c r="A103" s="1">
        <v>45831</v>
      </c>
      <c r="B103" t="s">
        <v>89</v>
      </c>
      <c r="C103" t="s">
        <v>90</v>
      </c>
      <c r="D103" t="s">
        <v>26</v>
      </c>
      <c r="E103">
        <v>16</v>
      </c>
      <c r="F103">
        <v>5794</v>
      </c>
      <c r="G103">
        <v>5794</v>
      </c>
      <c r="H103">
        <v>25</v>
      </c>
      <c r="I103">
        <v>144850</v>
      </c>
      <c r="J103">
        <v>21727.5</v>
      </c>
      <c r="K103">
        <v>166577.5</v>
      </c>
    </row>
    <row r="104" spans="1:11" x14ac:dyDescent="0.25">
      <c r="A104" s="1">
        <v>45831</v>
      </c>
      <c r="B104" t="s">
        <v>39</v>
      </c>
      <c r="C104" t="s">
        <v>91</v>
      </c>
      <c r="D104" t="s">
        <v>17</v>
      </c>
      <c r="E104">
        <v>3</v>
      </c>
      <c r="F104">
        <v>0</v>
      </c>
      <c r="G104">
        <v>3</v>
      </c>
      <c r="H104">
        <v>2500</v>
      </c>
      <c r="I104">
        <v>7500</v>
      </c>
      <c r="J104">
        <v>1125</v>
      </c>
      <c r="K104">
        <v>8625</v>
      </c>
    </row>
    <row r="105" spans="1:11" x14ac:dyDescent="0.25">
      <c r="A105" s="1">
        <v>45831</v>
      </c>
      <c r="B105" t="s">
        <v>92</v>
      </c>
      <c r="C105" t="s">
        <v>55</v>
      </c>
      <c r="D105" t="s">
        <v>19</v>
      </c>
      <c r="E105">
        <v>15</v>
      </c>
      <c r="F105">
        <v>1</v>
      </c>
      <c r="G105">
        <v>5</v>
      </c>
      <c r="H105">
        <v>3000</v>
      </c>
      <c r="I105">
        <v>15000</v>
      </c>
      <c r="J105">
        <v>2250</v>
      </c>
      <c r="K105">
        <v>17250</v>
      </c>
    </row>
    <row r="106" spans="1:11" x14ac:dyDescent="0.25">
      <c r="A106" s="1">
        <v>45831</v>
      </c>
      <c r="B106" t="s">
        <v>60</v>
      </c>
      <c r="C106" t="s">
        <v>62</v>
      </c>
      <c r="D106" t="s">
        <v>57</v>
      </c>
      <c r="E106">
        <v>5</v>
      </c>
      <c r="F106">
        <v>16.899999999999999</v>
      </c>
      <c r="G106">
        <v>16.899999999999999</v>
      </c>
      <c r="H106">
        <v>2400</v>
      </c>
      <c r="I106">
        <v>40560</v>
      </c>
      <c r="J106">
        <v>6084</v>
      </c>
      <c r="K106">
        <v>46644</v>
      </c>
    </row>
    <row r="107" spans="1:11" x14ac:dyDescent="0.25">
      <c r="A107" s="1">
        <v>45831</v>
      </c>
      <c r="B107" t="s">
        <v>60</v>
      </c>
      <c r="C107" t="s">
        <v>93</v>
      </c>
      <c r="D107" t="s">
        <v>63</v>
      </c>
      <c r="E107">
        <v>26</v>
      </c>
      <c r="F107">
        <v>22.13</v>
      </c>
      <c r="G107">
        <v>22.13</v>
      </c>
      <c r="H107">
        <v>2400</v>
      </c>
      <c r="I107">
        <v>53112</v>
      </c>
      <c r="J107">
        <v>7966.8</v>
      </c>
      <c r="K107">
        <v>61078.8</v>
      </c>
    </row>
    <row r="108" spans="1:11" x14ac:dyDescent="0.25">
      <c r="A108" s="1">
        <v>45831</v>
      </c>
      <c r="B108" t="s">
        <v>60</v>
      </c>
      <c r="C108" t="s">
        <v>94</v>
      </c>
      <c r="D108" t="s">
        <v>26</v>
      </c>
      <c r="E108">
        <v>2</v>
      </c>
      <c r="F108">
        <v>24.81</v>
      </c>
      <c r="G108">
        <v>24.81</v>
      </c>
      <c r="H108">
        <v>2400</v>
      </c>
      <c r="I108">
        <v>59544</v>
      </c>
      <c r="J108">
        <v>8931.6</v>
      </c>
      <c r="K108">
        <v>68475.600000000006</v>
      </c>
    </row>
    <row r="109" spans="1:11" x14ac:dyDescent="0.25">
      <c r="A109" s="1">
        <v>45831</v>
      </c>
      <c r="B109" t="s">
        <v>60</v>
      </c>
      <c r="C109" t="s">
        <v>95</v>
      </c>
      <c r="D109" t="s">
        <v>19</v>
      </c>
      <c r="E109">
        <v>5</v>
      </c>
      <c r="F109">
        <v>14.81</v>
      </c>
      <c r="G109">
        <v>14.81</v>
      </c>
      <c r="H109">
        <v>2400</v>
      </c>
      <c r="I109">
        <v>35544</v>
      </c>
      <c r="J109">
        <v>5331.6</v>
      </c>
      <c r="K109">
        <v>40875.599999999999</v>
      </c>
    </row>
    <row r="110" spans="1:11" x14ac:dyDescent="0.25">
      <c r="A110" s="1">
        <v>45832</v>
      </c>
      <c r="B110" t="s">
        <v>65</v>
      </c>
      <c r="C110" t="s">
        <v>29</v>
      </c>
      <c r="D110" t="s">
        <v>24</v>
      </c>
      <c r="E110">
        <v>5</v>
      </c>
      <c r="F110">
        <v>18</v>
      </c>
      <c r="G110">
        <v>18</v>
      </c>
      <c r="H110">
        <v>70</v>
      </c>
      <c r="I110">
        <v>1260</v>
      </c>
      <c r="J110">
        <v>189</v>
      </c>
      <c r="K110">
        <v>1449</v>
      </c>
    </row>
    <row r="111" spans="1:11" x14ac:dyDescent="0.25">
      <c r="A111" s="1">
        <v>45833</v>
      </c>
      <c r="B111" t="s">
        <v>65</v>
      </c>
      <c r="C111" t="s">
        <v>72</v>
      </c>
      <c r="D111" t="s">
        <v>24</v>
      </c>
      <c r="E111">
        <v>12</v>
      </c>
      <c r="F111">
        <v>1710</v>
      </c>
      <c r="G111">
        <v>1710</v>
      </c>
      <c r="H111">
        <v>70</v>
      </c>
      <c r="I111">
        <v>119700</v>
      </c>
      <c r="J111">
        <v>17955</v>
      </c>
      <c r="K111">
        <v>137655</v>
      </c>
    </row>
    <row r="112" spans="1:11" x14ac:dyDescent="0.25">
      <c r="A112" s="1">
        <v>45831</v>
      </c>
      <c r="B112" t="s">
        <v>65</v>
      </c>
      <c r="C112" t="s">
        <v>96</v>
      </c>
      <c r="D112" t="s">
        <v>14</v>
      </c>
      <c r="E112">
        <v>17</v>
      </c>
      <c r="F112">
        <v>817</v>
      </c>
      <c r="G112">
        <v>817</v>
      </c>
      <c r="H112">
        <v>70</v>
      </c>
      <c r="I112">
        <v>57190</v>
      </c>
      <c r="J112">
        <v>8578.5</v>
      </c>
      <c r="K112">
        <v>65768.5</v>
      </c>
    </row>
    <row r="113" spans="1:11" x14ac:dyDescent="0.25">
      <c r="A113" s="1">
        <v>45831</v>
      </c>
      <c r="B113" t="s">
        <v>65</v>
      </c>
      <c r="C113" t="s">
        <v>67</v>
      </c>
      <c r="D113" t="s">
        <v>14</v>
      </c>
      <c r="E113">
        <v>15</v>
      </c>
      <c r="F113">
        <v>1000</v>
      </c>
      <c r="G113">
        <v>1000</v>
      </c>
      <c r="H113">
        <v>70</v>
      </c>
      <c r="I113">
        <v>70000</v>
      </c>
      <c r="J113">
        <v>10500</v>
      </c>
      <c r="K113">
        <v>80500</v>
      </c>
    </row>
    <row r="114" spans="1:11" x14ac:dyDescent="0.25">
      <c r="A114" s="1">
        <v>45833</v>
      </c>
      <c r="B114" t="s">
        <v>65</v>
      </c>
      <c r="C114" t="s">
        <v>72</v>
      </c>
      <c r="D114" t="s">
        <v>17</v>
      </c>
      <c r="E114">
        <v>8</v>
      </c>
      <c r="F114">
        <v>360</v>
      </c>
      <c r="G114">
        <v>360</v>
      </c>
      <c r="H114">
        <v>70</v>
      </c>
      <c r="I114">
        <v>25200</v>
      </c>
      <c r="J114">
        <v>3780</v>
      </c>
      <c r="K114">
        <v>28980</v>
      </c>
    </row>
    <row r="115" spans="1:11" x14ac:dyDescent="0.25">
      <c r="A115" s="1">
        <v>45831</v>
      </c>
      <c r="B115" t="s">
        <v>65</v>
      </c>
      <c r="C115" t="s">
        <v>37</v>
      </c>
      <c r="D115" t="s">
        <v>59</v>
      </c>
      <c r="E115">
        <v>8</v>
      </c>
      <c r="F115">
        <v>1000</v>
      </c>
      <c r="G115">
        <v>1000</v>
      </c>
      <c r="H115">
        <v>70</v>
      </c>
      <c r="I115">
        <v>70000</v>
      </c>
      <c r="J115">
        <v>10500</v>
      </c>
      <c r="K115">
        <v>80500</v>
      </c>
    </row>
    <row r="116" spans="1:11" x14ac:dyDescent="0.25">
      <c r="A116" s="1">
        <v>45831</v>
      </c>
      <c r="B116" t="s">
        <v>65</v>
      </c>
      <c r="C116" t="s">
        <v>29</v>
      </c>
      <c r="D116" t="s">
        <v>59</v>
      </c>
      <c r="E116">
        <v>5</v>
      </c>
      <c r="F116">
        <v>654</v>
      </c>
      <c r="G116">
        <v>654</v>
      </c>
      <c r="H116">
        <v>70</v>
      </c>
      <c r="I116">
        <v>45780</v>
      </c>
      <c r="J116">
        <v>6867</v>
      </c>
      <c r="K116">
        <v>52647</v>
      </c>
    </row>
    <row r="117" spans="1:11" x14ac:dyDescent="0.25">
      <c r="A117" s="1">
        <v>45831</v>
      </c>
      <c r="B117" t="s">
        <v>70</v>
      </c>
      <c r="C117" t="s">
        <v>97</v>
      </c>
      <c r="D117" t="s">
        <v>98</v>
      </c>
      <c r="E117">
        <v>7</v>
      </c>
      <c r="F117">
        <v>2208</v>
      </c>
      <c r="G117">
        <v>13.8</v>
      </c>
      <c r="H117">
        <v>2000</v>
      </c>
      <c r="I117">
        <v>27600</v>
      </c>
      <c r="J117">
        <v>4140</v>
      </c>
      <c r="K117">
        <v>31740</v>
      </c>
    </row>
    <row r="118" spans="1:11" x14ac:dyDescent="0.25">
      <c r="A118" s="1">
        <v>45831</v>
      </c>
      <c r="B118" t="s">
        <v>70</v>
      </c>
      <c r="C118" t="s">
        <v>99</v>
      </c>
      <c r="D118" t="s">
        <v>11</v>
      </c>
      <c r="E118">
        <v>16</v>
      </c>
      <c r="F118">
        <v>3124</v>
      </c>
      <c r="G118">
        <v>3124</v>
      </c>
      <c r="H118">
        <v>90</v>
      </c>
      <c r="I118">
        <v>281160</v>
      </c>
      <c r="J118">
        <v>42174</v>
      </c>
      <c r="K118">
        <v>323334</v>
      </c>
    </row>
    <row r="119" spans="1:11" x14ac:dyDescent="0.25">
      <c r="A119" s="1">
        <v>45831</v>
      </c>
      <c r="B119" t="s">
        <v>70</v>
      </c>
      <c r="C119" t="s">
        <v>46</v>
      </c>
      <c r="D119" t="s">
        <v>26</v>
      </c>
      <c r="E119">
        <v>3</v>
      </c>
      <c r="F119">
        <v>2377</v>
      </c>
      <c r="G119">
        <v>2377</v>
      </c>
      <c r="H119">
        <v>90</v>
      </c>
      <c r="I119">
        <v>213930</v>
      </c>
      <c r="J119">
        <v>32089.5</v>
      </c>
      <c r="K119">
        <v>246019.5</v>
      </c>
    </row>
    <row r="120" spans="1:11" x14ac:dyDescent="0.25">
      <c r="A120" s="1">
        <v>45831</v>
      </c>
      <c r="B120" t="s">
        <v>70</v>
      </c>
      <c r="C120" t="s">
        <v>50</v>
      </c>
      <c r="D120" t="s">
        <v>26</v>
      </c>
      <c r="E120">
        <v>4</v>
      </c>
      <c r="F120">
        <v>3011</v>
      </c>
      <c r="G120">
        <v>3011</v>
      </c>
      <c r="H120">
        <v>90</v>
      </c>
      <c r="I120">
        <v>270990</v>
      </c>
      <c r="J120">
        <v>40648.5</v>
      </c>
      <c r="K120">
        <v>311638.5</v>
      </c>
    </row>
    <row r="121" spans="1:11" x14ac:dyDescent="0.25">
      <c r="A121" s="1">
        <v>45832</v>
      </c>
      <c r="B121" t="s">
        <v>20</v>
      </c>
      <c r="C121" t="s">
        <v>66</v>
      </c>
      <c r="D121" t="s">
        <v>32</v>
      </c>
      <c r="E121">
        <v>7</v>
      </c>
      <c r="F121">
        <v>608</v>
      </c>
      <c r="G121">
        <v>608</v>
      </c>
      <c r="H121">
        <v>90</v>
      </c>
      <c r="I121">
        <v>54720</v>
      </c>
      <c r="J121">
        <v>8208</v>
      </c>
      <c r="K121">
        <v>62928</v>
      </c>
    </row>
    <row r="122" spans="1:11" x14ac:dyDescent="0.25">
      <c r="A122" s="1">
        <v>45832</v>
      </c>
      <c r="B122" t="s">
        <v>20</v>
      </c>
      <c r="C122" t="s">
        <v>25</v>
      </c>
      <c r="D122" t="s">
        <v>32</v>
      </c>
      <c r="E122">
        <v>5</v>
      </c>
      <c r="F122">
        <v>103</v>
      </c>
      <c r="G122">
        <v>103</v>
      </c>
      <c r="H122">
        <v>90</v>
      </c>
      <c r="I122">
        <v>9270</v>
      </c>
      <c r="J122">
        <v>1390.5</v>
      </c>
      <c r="K122">
        <v>10660.5</v>
      </c>
    </row>
    <row r="123" spans="1:11" x14ac:dyDescent="0.25">
      <c r="A123" s="1">
        <v>45832</v>
      </c>
      <c r="B123" t="s">
        <v>20</v>
      </c>
      <c r="C123" t="s">
        <v>100</v>
      </c>
      <c r="D123" t="s">
        <v>26</v>
      </c>
      <c r="E123">
        <v>4</v>
      </c>
      <c r="F123">
        <v>455</v>
      </c>
      <c r="G123">
        <v>455</v>
      </c>
      <c r="H123">
        <v>90</v>
      </c>
      <c r="I123">
        <v>40950</v>
      </c>
      <c r="J123">
        <v>6142.5</v>
      </c>
      <c r="K123">
        <v>47092.5</v>
      </c>
    </row>
    <row r="124" spans="1:11" x14ac:dyDescent="0.25">
      <c r="A124" s="1">
        <v>45832</v>
      </c>
      <c r="B124" t="s">
        <v>80</v>
      </c>
      <c r="C124" t="s">
        <v>37</v>
      </c>
      <c r="D124" t="s">
        <v>17</v>
      </c>
      <c r="E124">
        <v>5</v>
      </c>
      <c r="F124">
        <v>97</v>
      </c>
      <c r="G124">
        <v>97</v>
      </c>
      <c r="H124">
        <v>70</v>
      </c>
      <c r="I124">
        <v>6790</v>
      </c>
      <c r="J124">
        <v>1018.5</v>
      </c>
      <c r="K124">
        <v>7808.5</v>
      </c>
    </row>
    <row r="125" spans="1:11" x14ac:dyDescent="0.25">
      <c r="A125" s="1">
        <v>45832</v>
      </c>
      <c r="B125" t="s">
        <v>82</v>
      </c>
      <c r="C125" t="s">
        <v>101</v>
      </c>
      <c r="D125" t="s">
        <v>19</v>
      </c>
      <c r="E125">
        <v>3</v>
      </c>
      <c r="F125">
        <v>0</v>
      </c>
      <c r="G125">
        <v>3</v>
      </c>
      <c r="H125">
        <v>2500</v>
      </c>
      <c r="I125">
        <v>7500</v>
      </c>
      <c r="J125">
        <v>1125</v>
      </c>
      <c r="K125">
        <v>8625</v>
      </c>
    </row>
    <row r="126" spans="1:11" x14ac:dyDescent="0.25">
      <c r="A126" s="1">
        <v>45832</v>
      </c>
      <c r="B126" t="s">
        <v>82</v>
      </c>
      <c r="C126" t="s">
        <v>83</v>
      </c>
      <c r="D126" t="s">
        <v>17</v>
      </c>
      <c r="E126">
        <v>3</v>
      </c>
      <c r="F126">
        <v>0</v>
      </c>
      <c r="G126">
        <v>3</v>
      </c>
      <c r="H126">
        <v>2500</v>
      </c>
      <c r="I126">
        <v>7500</v>
      </c>
      <c r="J126">
        <v>1125</v>
      </c>
      <c r="K126">
        <v>8625</v>
      </c>
    </row>
    <row r="127" spans="1:11" x14ac:dyDescent="0.25">
      <c r="A127" s="1">
        <v>45832</v>
      </c>
      <c r="B127" t="s">
        <v>82</v>
      </c>
      <c r="C127" t="s">
        <v>83</v>
      </c>
      <c r="D127" t="s">
        <v>17</v>
      </c>
      <c r="E127">
        <v>4</v>
      </c>
      <c r="F127">
        <v>0</v>
      </c>
      <c r="G127">
        <v>4</v>
      </c>
      <c r="H127">
        <v>2500</v>
      </c>
      <c r="I127">
        <v>10000</v>
      </c>
      <c r="J127">
        <v>1500</v>
      </c>
      <c r="K127">
        <v>11500</v>
      </c>
    </row>
    <row r="128" spans="1:11" x14ac:dyDescent="0.25">
      <c r="A128" s="1">
        <v>45831</v>
      </c>
      <c r="B128" t="s">
        <v>34</v>
      </c>
      <c r="C128" t="s">
        <v>100</v>
      </c>
      <c r="D128" t="s">
        <v>19</v>
      </c>
      <c r="E128">
        <v>2</v>
      </c>
      <c r="F128">
        <v>530</v>
      </c>
      <c r="G128">
        <v>1000</v>
      </c>
      <c r="H128">
        <v>12</v>
      </c>
      <c r="I128">
        <v>12000</v>
      </c>
      <c r="J128">
        <v>1800</v>
      </c>
      <c r="K128">
        <v>13800</v>
      </c>
    </row>
    <row r="129" spans="1:11" x14ac:dyDescent="0.25">
      <c r="A129" s="1">
        <v>45832</v>
      </c>
      <c r="B129" t="s">
        <v>34</v>
      </c>
      <c r="C129" t="s">
        <v>66</v>
      </c>
      <c r="D129" t="s">
        <v>24</v>
      </c>
      <c r="E129">
        <v>1</v>
      </c>
      <c r="F129">
        <v>100</v>
      </c>
      <c r="G129">
        <v>100</v>
      </c>
      <c r="H129">
        <v>12</v>
      </c>
      <c r="I129">
        <v>1200</v>
      </c>
      <c r="J129">
        <v>180</v>
      </c>
      <c r="K129">
        <v>1380</v>
      </c>
    </row>
    <row r="130" spans="1:11" x14ac:dyDescent="0.25">
      <c r="A130" s="1">
        <v>45832</v>
      </c>
      <c r="B130" t="s">
        <v>34</v>
      </c>
      <c r="C130" t="s">
        <v>102</v>
      </c>
      <c r="D130" t="s">
        <v>17</v>
      </c>
      <c r="E130">
        <v>2</v>
      </c>
      <c r="F130">
        <v>1120</v>
      </c>
      <c r="G130">
        <v>2134</v>
      </c>
      <c r="H130">
        <v>12</v>
      </c>
      <c r="I130">
        <v>25608</v>
      </c>
      <c r="J130">
        <v>3841.2</v>
      </c>
      <c r="K130">
        <v>29449.200000000001</v>
      </c>
    </row>
    <row r="131" spans="1:11" x14ac:dyDescent="0.25">
      <c r="A131" s="1">
        <v>45832</v>
      </c>
      <c r="B131" t="s">
        <v>34</v>
      </c>
      <c r="C131" t="s">
        <v>103</v>
      </c>
      <c r="D131" t="s">
        <v>19</v>
      </c>
      <c r="E131">
        <v>2</v>
      </c>
      <c r="F131">
        <v>536</v>
      </c>
      <c r="G131">
        <v>1000</v>
      </c>
      <c r="H131">
        <v>12</v>
      </c>
      <c r="I131">
        <v>12000</v>
      </c>
      <c r="J131">
        <v>1800</v>
      </c>
      <c r="K131">
        <v>13800</v>
      </c>
    </row>
    <row r="132" spans="1:11" x14ac:dyDescent="0.25">
      <c r="A132" s="1">
        <v>45832</v>
      </c>
      <c r="B132" t="s">
        <v>39</v>
      </c>
      <c r="C132" t="s">
        <v>104</v>
      </c>
      <c r="D132" t="s">
        <v>27</v>
      </c>
      <c r="E132">
        <v>5</v>
      </c>
      <c r="F132">
        <v>3</v>
      </c>
      <c r="G132">
        <v>3</v>
      </c>
      <c r="H132">
        <v>2500</v>
      </c>
      <c r="I132">
        <v>7500</v>
      </c>
      <c r="J132">
        <v>1125</v>
      </c>
      <c r="K132">
        <v>8625</v>
      </c>
    </row>
    <row r="133" spans="1:11" x14ac:dyDescent="0.25">
      <c r="A133" s="1">
        <v>45832</v>
      </c>
      <c r="B133" t="s">
        <v>36</v>
      </c>
      <c r="C133" t="s">
        <v>105</v>
      </c>
      <c r="D133" t="s">
        <v>32</v>
      </c>
      <c r="E133">
        <v>7</v>
      </c>
      <c r="F133">
        <v>12</v>
      </c>
      <c r="G133">
        <v>10</v>
      </c>
      <c r="H133">
        <v>2400</v>
      </c>
      <c r="I133">
        <v>24000</v>
      </c>
      <c r="J133">
        <v>3600</v>
      </c>
      <c r="K133">
        <v>27600</v>
      </c>
    </row>
    <row r="134" spans="1:11" x14ac:dyDescent="0.25">
      <c r="A134" s="1">
        <v>45832</v>
      </c>
      <c r="B134" t="s">
        <v>36</v>
      </c>
      <c r="C134" t="s">
        <v>40</v>
      </c>
      <c r="D134" t="s">
        <v>17</v>
      </c>
      <c r="E134">
        <v>7</v>
      </c>
      <c r="F134">
        <v>3</v>
      </c>
      <c r="G134">
        <v>20</v>
      </c>
      <c r="H134">
        <v>2400</v>
      </c>
      <c r="I134">
        <v>48000</v>
      </c>
      <c r="J134">
        <v>7200</v>
      </c>
      <c r="K134">
        <v>55200</v>
      </c>
    </row>
    <row r="135" spans="1:11" x14ac:dyDescent="0.25">
      <c r="A135" s="1">
        <v>45832</v>
      </c>
      <c r="B135" t="s">
        <v>36</v>
      </c>
      <c r="C135" t="s">
        <v>106</v>
      </c>
      <c r="D135" t="s">
        <v>24</v>
      </c>
      <c r="E135">
        <v>8</v>
      </c>
      <c r="F135">
        <v>5</v>
      </c>
      <c r="G135">
        <v>20</v>
      </c>
      <c r="H135">
        <v>2400</v>
      </c>
      <c r="I135">
        <v>48000</v>
      </c>
      <c r="J135">
        <v>7200</v>
      </c>
      <c r="K135">
        <v>55200</v>
      </c>
    </row>
    <row r="136" spans="1:11" x14ac:dyDescent="0.25">
      <c r="A136" s="1">
        <v>45832</v>
      </c>
      <c r="B136" t="s">
        <v>42</v>
      </c>
      <c r="C136" t="s">
        <v>100</v>
      </c>
      <c r="D136" t="s">
        <v>17</v>
      </c>
      <c r="E136">
        <v>3</v>
      </c>
      <c r="F136">
        <v>1116</v>
      </c>
      <c r="G136">
        <v>1116</v>
      </c>
      <c r="H136">
        <v>70</v>
      </c>
      <c r="I136">
        <v>78120</v>
      </c>
      <c r="J136">
        <v>11718</v>
      </c>
      <c r="K136">
        <v>89838</v>
      </c>
    </row>
    <row r="137" spans="1:11" x14ac:dyDescent="0.25">
      <c r="A137" s="1">
        <v>45832</v>
      </c>
      <c r="B137" t="s">
        <v>42</v>
      </c>
      <c r="C137" t="s">
        <v>66</v>
      </c>
      <c r="D137" t="s">
        <v>32</v>
      </c>
      <c r="E137">
        <v>15</v>
      </c>
      <c r="F137">
        <v>420</v>
      </c>
      <c r="G137">
        <v>420</v>
      </c>
      <c r="H137">
        <v>70</v>
      </c>
      <c r="I137">
        <v>29400</v>
      </c>
      <c r="J137">
        <v>4410</v>
      </c>
      <c r="K137">
        <v>33810</v>
      </c>
    </row>
    <row r="138" spans="1:11" x14ac:dyDescent="0.25">
      <c r="A138" s="1">
        <v>45832</v>
      </c>
      <c r="B138" t="s">
        <v>42</v>
      </c>
      <c r="C138" t="s">
        <v>21</v>
      </c>
      <c r="D138" t="s">
        <v>27</v>
      </c>
      <c r="E138">
        <v>10</v>
      </c>
      <c r="F138">
        <v>87</v>
      </c>
      <c r="G138">
        <v>87</v>
      </c>
      <c r="H138">
        <v>70</v>
      </c>
      <c r="I138">
        <v>6090</v>
      </c>
      <c r="J138">
        <v>913.5</v>
      </c>
      <c r="K138">
        <v>7003.5</v>
      </c>
    </row>
    <row r="139" spans="1:11" x14ac:dyDescent="0.25">
      <c r="A139" s="1">
        <v>45832</v>
      </c>
      <c r="B139" t="s">
        <v>42</v>
      </c>
      <c r="C139" t="s">
        <v>43</v>
      </c>
      <c r="D139" t="s">
        <v>19</v>
      </c>
      <c r="E139">
        <v>7</v>
      </c>
      <c r="F139">
        <v>221</v>
      </c>
      <c r="G139">
        <v>221</v>
      </c>
      <c r="H139">
        <v>70</v>
      </c>
      <c r="I139">
        <v>15470</v>
      </c>
      <c r="J139">
        <v>2320.5</v>
      </c>
      <c r="K139">
        <v>17790.5</v>
      </c>
    </row>
    <row r="140" spans="1:11" x14ac:dyDescent="0.25">
      <c r="A140" s="1">
        <v>45845</v>
      </c>
      <c r="B140" t="s">
        <v>44</v>
      </c>
      <c r="C140" t="s">
        <v>46</v>
      </c>
      <c r="D140" t="s">
        <v>32</v>
      </c>
      <c r="E140">
        <v>23</v>
      </c>
      <c r="F140">
        <v>26</v>
      </c>
      <c r="G140">
        <v>490</v>
      </c>
      <c r="H140">
        <v>70</v>
      </c>
      <c r="I140">
        <v>34300</v>
      </c>
      <c r="J140">
        <v>5145</v>
      </c>
      <c r="K140">
        <v>39445</v>
      </c>
    </row>
    <row r="141" spans="1:11" x14ac:dyDescent="0.25">
      <c r="A141" s="1">
        <v>45832</v>
      </c>
      <c r="B141" t="s">
        <v>44</v>
      </c>
      <c r="C141" t="s">
        <v>107</v>
      </c>
      <c r="D141" t="s">
        <v>108</v>
      </c>
      <c r="E141">
        <v>7</v>
      </c>
      <c r="F141">
        <v>705</v>
      </c>
      <c r="G141">
        <v>705</v>
      </c>
      <c r="H141">
        <v>70</v>
      </c>
      <c r="I141">
        <v>49350</v>
      </c>
      <c r="J141">
        <v>7402.5</v>
      </c>
      <c r="K141">
        <v>56752.5</v>
      </c>
    </row>
    <row r="142" spans="1:11" x14ac:dyDescent="0.25">
      <c r="A142" s="1">
        <v>45855</v>
      </c>
      <c r="B142" t="s">
        <v>44</v>
      </c>
      <c r="C142" t="s">
        <v>28</v>
      </c>
      <c r="D142" t="s">
        <v>32</v>
      </c>
      <c r="E142">
        <v>4</v>
      </c>
      <c r="F142">
        <v>7</v>
      </c>
      <c r="G142">
        <v>291</v>
      </c>
      <c r="H142">
        <v>70</v>
      </c>
      <c r="I142">
        <v>20370</v>
      </c>
      <c r="J142">
        <v>3055.5</v>
      </c>
      <c r="K142">
        <v>23425.5</v>
      </c>
    </row>
    <row r="143" spans="1:11" x14ac:dyDescent="0.25">
      <c r="A143" s="1">
        <v>45832</v>
      </c>
      <c r="B143" t="s">
        <v>44</v>
      </c>
      <c r="C143" t="s">
        <v>109</v>
      </c>
      <c r="D143" t="s">
        <v>63</v>
      </c>
      <c r="E143">
        <v>3</v>
      </c>
      <c r="F143">
        <v>1012</v>
      </c>
      <c r="G143">
        <v>1012</v>
      </c>
      <c r="H143">
        <v>70</v>
      </c>
      <c r="I143">
        <v>70840</v>
      </c>
      <c r="J143">
        <v>10626</v>
      </c>
      <c r="K143">
        <v>81466</v>
      </c>
    </row>
    <row r="144" spans="1:11" x14ac:dyDescent="0.25">
      <c r="A144" s="1">
        <v>45832</v>
      </c>
      <c r="B144" t="s">
        <v>89</v>
      </c>
      <c r="C144" t="s">
        <v>33</v>
      </c>
      <c r="D144" t="s">
        <v>26</v>
      </c>
      <c r="E144">
        <v>16</v>
      </c>
      <c r="F144">
        <v>7383</v>
      </c>
      <c r="G144">
        <v>7383</v>
      </c>
      <c r="H144">
        <v>25</v>
      </c>
      <c r="I144">
        <v>184575</v>
      </c>
      <c r="J144">
        <v>27686.25</v>
      </c>
      <c r="K144">
        <v>212261.25</v>
      </c>
    </row>
    <row r="145" spans="1:11" x14ac:dyDescent="0.25">
      <c r="A145" s="1">
        <v>45832</v>
      </c>
      <c r="B145" t="s">
        <v>110</v>
      </c>
      <c r="C145" t="s">
        <v>43</v>
      </c>
      <c r="D145" t="s">
        <v>17</v>
      </c>
      <c r="E145">
        <v>2</v>
      </c>
      <c r="F145">
        <v>0</v>
      </c>
      <c r="G145">
        <v>2</v>
      </c>
      <c r="H145">
        <v>2500</v>
      </c>
      <c r="I145">
        <v>5000</v>
      </c>
      <c r="J145">
        <v>750</v>
      </c>
      <c r="K145">
        <v>5750</v>
      </c>
    </row>
    <row r="146" spans="1:11" x14ac:dyDescent="0.25">
      <c r="A146" s="1">
        <v>45832</v>
      </c>
      <c r="B146" t="s">
        <v>110</v>
      </c>
      <c r="C146" t="s">
        <v>85</v>
      </c>
      <c r="D146" t="s">
        <v>17</v>
      </c>
      <c r="E146">
        <v>2</v>
      </c>
      <c r="F146">
        <v>0</v>
      </c>
      <c r="G146">
        <v>2</v>
      </c>
      <c r="H146">
        <v>2500</v>
      </c>
      <c r="I146">
        <v>5000</v>
      </c>
      <c r="J146">
        <v>750</v>
      </c>
      <c r="K146">
        <v>5750</v>
      </c>
    </row>
    <row r="147" spans="1:11" x14ac:dyDescent="0.25">
      <c r="A147" s="1">
        <v>45832</v>
      </c>
      <c r="B147" t="s">
        <v>110</v>
      </c>
      <c r="C147" t="s">
        <v>66</v>
      </c>
      <c r="D147" t="s">
        <v>17</v>
      </c>
      <c r="E147">
        <v>2</v>
      </c>
      <c r="F147">
        <v>0</v>
      </c>
      <c r="G147">
        <v>2</v>
      </c>
      <c r="H147">
        <v>2500</v>
      </c>
      <c r="I147">
        <v>5000</v>
      </c>
      <c r="J147">
        <v>750</v>
      </c>
      <c r="K147">
        <v>5750</v>
      </c>
    </row>
    <row r="148" spans="1:11" x14ac:dyDescent="0.25">
      <c r="A148" s="1">
        <v>45832</v>
      </c>
      <c r="B148" t="s">
        <v>110</v>
      </c>
      <c r="C148" t="s">
        <v>100</v>
      </c>
      <c r="D148" t="s">
        <v>17</v>
      </c>
      <c r="E148">
        <v>2</v>
      </c>
      <c r="F148">
        <v>0</v>
      </c>
      <c r="G148">
        <v>2</v>
      </c>
      <c r="H148">
        <v>2500</v>
      </c>
      <c r="I148">
        <v>5000</v>
      </c>
      <c r="J148">
        <v>750</v>
      </c>
      <c r="K148">
        <v>5750</v>
      </c>
    </row>
    <row r="149" spans="1:11" x14ac:dyDescent="0.25">
      <c r="A149" s="1">
        <v>45832</v>
      </c>
      <c r="B149" t="s">
        <v>110</v>
      </c>
      <c r="C149" t="s">
        <v>103</v>
      </c>
      <c r="D149" t="s">
        <v>17</v>
      </c>
      <c r="E149">
        <v>2</v>
      </c>
      <c r="F149">
        <v>0</v>
      </c>
      <c r="G149">
        <v>1</v>
      </c>
      <c r="H149">
        <v>2500</v>
      </c>
      <c r="I149">
        <v>2500</v>
      </c>
      <c r="J149">
        <v>375</v>
      </c>
      <c r="K149">
        <v>2875</v>
      </c>
    </row>
    <row r="150" spans="1:11" x14ac:dyDescent="0.25">
      <c r="A150" s="1">
        <v>45832</v>
      </c>
      <c r="B150" t="s">
        <v>110</v>
      </c>
      <c r="C150" t="s">
        <v>111</v>
      </c>
      <c r="D150" t="s">
        <v>17</v>
      </c>
      <c r="E150">
        <v>2</v>
      </c>
      <c r="F150">
        <v>0</v>
      </c>
      <c r="G150">
        <v>1</v>
      </c>
      <c r="H150">
        <v>2500</v>
      </c>
      <c r="I150">
        <v>2500</v>
      </c>
      <c r="J150">
        <v>375</v>
      </c>
      <c r="K150">
        <v>2875</v>
      </c>
    </row>
    <row r="151" spans="1:11" x14ac:dyDescent="0.25">
      <c r="A151" s="1">
        <v>45832</v>
      </c>
      <c r="B151" t="s">
        <v>110</v>
      </c>
      <c r="C151" t="s">
        <v>96</v>
      </c>
      <c r="D151" t="s">
        <v>17</v>
      </c>
      <c r="E151">
        <v>2</v>
      </c>
      <c r="F151">
        <v>0</v>
      </c>
      <c r="G151">
        <v>2</v>
      </c>
      <c r="H151">
        <v>2500</v>
      </c>
      <c r="I151">
        <v>5000</v>
      </c>
      <c r="J151">
        <v>750</v>
      </c>
      <c r="K151">
        <v>5750</v>
      </c>
    </row>
    <row r="152" spans="1:11" x14ac:dyDescent="0.25">
      <c r="A152" s="1">
        <v>45832</v>
      </c>
      <c r="B152" t="s">
        <v>112</v>
      </c>
      <c r="C152" t="s">
        <v>113</v>
      </c>
      <c r="D152" t="s">
        <v>17</v>
      </c>
      <c r="E152">
        <v>3</v>
      </c>
      <c r="F152">
        <v>0</v>
      </c>
      <c r="G152">
        <v>2200</v>
      </c>
      <c r="H152">
        <v>50</v>
      </c>
      <c r="I152">
        <v>110000</v>
      </c>
      <c r="J152">
        <v>16500</v>
      </c>
      <c r="K152">
        <v>126500</v>
      </c>
    </row>
    <row r="153" spans="1:11" x14ac:dyDescent="0.25">
      <c r="A153" s="1">
        <v>45832</v>
      </c>
      <c r="B153" t="s">
        <v>39</v>
      </c>
      <c r="C153" t="s">
        <v>114</v>
      </c>
      <c r="D153" t="s">
        <v>17</v>
      </c>
      <c r="E153">
        <v>2</v>
      </c>
      <c r="F153">
        <v>0</v>
      </c>
      <c r="G153">
        <v>2</v>
      </c>
      <c r="H153">
        <v>2500</v>
      </c>
      <c r="I153">
        <v>5000</v>
      </c>
      <c r="J153">
        <v>750</v>
      </c>
      <c r="K153">
        <v>5750</v>
      </c>
    </row>
    <row r="154" spans="1:11" x14ac:dyDescent="0.25">
      <c r="A154" s="1">
        <v>45832</v>
      </c>
      <c r="B154" t="s">
        <v>60</v>
      </c>
      <c r="C154" t="s">
        <v>115</v>
      </c>
      <c r="D154" t="s">
        <v>26</v>
      </c>
      <c r="E154">
        <v>3</v>
      </c>
      <c r="F154">
        <v>21.53</v>
      </c>
      <c r="G154">
        <v>21.53</v>
      </c>
      <c r="H154">
        <v>2400</v>
      </c>
      <c r="I154">
        <v>51672</v>
      </c>
      <c r="J154">
        <v>7750.8</v>
      </c>
      <c r="K154">
        <v>59422.8</v>
      </c>
    </row>
    <row r="155" spans="1:11" x14ac:dyDescent="0.25">
      <c r="A155" s="1">
        <v>45847</v>
      </c>
      <c r="B155" t="s">
        <v>12</v>
      </c>
      <c r="C155" t="s">
        <v>100</v>
      </c>
      <c r="D155" t="s">
        <v>63</v>
      </c>
      <c r="E155">
        <v>2</v>
      </c>
      <c r="F155">
        <v>1</v>
      </c>
      <c r="G155">
        <v>17.149999999999999</v>
      </c>
      <c r="H155">
        <v>20000</v>
      </c>
      <c r="I155">
        <v>343000</v>
      </c>
      <c r="J155">
        <v>51450</v>
      </c>
      <c r="K155">
        <v>394450</v>
      </c>
    </row>
    <row r="156" spans="1:11" x14ac:dyDescent="0.25">
      <c r="A156" s="1">
        <v>45832</v>
      </c>
      <c r="B156" t="s">
        <v>60</v>
      </c>
      <c r="C156" t="s">
        <v>116</v>
      </c>
      <c r="D156" t="s">
        <v>63</v>
      </c>
      <c r="E156">
        <v>16</v>
      </c>
      <c r="F156">
        <v>15.63</v>
      </c>
      <c r="G156">
        <v>15.63</v>
      </c>
      <c r="H156">
        <v>2400</v>
      </c>
      <c r="I156">
        <v>37512</v>
      </c>
      <c r="J156">
        <v>5626.8</v>
      </c>
      <c r="K156">
        <v>43138.8</v>
      </c>
    </row>
    <row r="157" spans="1:11" x14ac:dyDescent="0.25">
      <c r="A157" s="1">
        <v>45832</v>
      </c>
      <c r="B157" t="s">
        <v>60</v>
      </c>
      <c r="C157" t="s">
        <v>117</v>
      </c>
      <c r="D157" t="s">
        <v>19</v>
      </c>
      <c r="E157">
        <v>6</v>
      </c>
      <c r="F157">
        <v>12.29</v>
      </c>
      <c r="G157">
        <v>12.29</v>
      </c>
      <c r="H157">
        <v>2400</v>
      </c>
      <c r="I157">
        <v>29496</v>
      </c>
      <c r="J157">
        <v>4424.3999999999996</v>
      </c>
      <c r="K157">
        <v>33920.400000000001</v>
      </c>
    </row>
    <row r="158" spans="1:11" x14ac:dyDescent="0.25">
      <c r="A158" s="1">
        <v>45832</v>
      </c>
      <c r="B158" t="s">
        <v>60</v>
      </c>
      <c r="C158" t="s">
        <v>118</v>
      </c>
      <c r="D158" t="s">
        <v>19</v>
      </c>
      <c r="E158">
        <v>5</v>
      </c>
      <c r="F158">
        <v>9.27</v>
      </c>
      <c r="G158">
        <v>9.27</v>
      </c>
      <c r="H158">
        <v>2400</v>
      </c>
      <c r="I158">
        <v>22248</v>
      </c>
      <c r="J158">
        <v>3337.2</v>
      </c>
      <c r="K158">
        <v>25585.200000000001</v>
      </c>
    </row>
    <row r="159" spans="1:11" x14ac:dyDescent="0.25">
      <c r="A159" s="1">
        <v>45833</v>
      </c>
      <c r="B159" t="s">
        <v>65</v>
      </c>
      <c r="C159" t="s">
        <v>40</v>
      </c>
      <c r="D159" t="s">
        <v>24</v>
      </c>
      <c r="E159">
        <v>7</v>
      </c>
      <c r="F159">
        <v>1305</v>
      </c>
      <c r="G159">
        <v>1305</v>
      </c>
      <c r="H159">
        <v>70</v>
      </c>
      <c r="I159">
        <v>91350</v>
      </c>
      <c r="J159">
        <v>13702.5</v>
      </c>
      <c r="K159">
        <v>105052.5</v>
      </c>
    </row>
    <row r="160" spans="1:11" x14ac:dyDescent="0.25">
      <c r="A160" s="1">
        <v>45832</v>
      </c>
      <c r="B160" t="s">
        <v>65</v>
      </c>
      <c r="C160" t="s">
        <v>67</v>
      </c>
      <c r="D160" t="s">
        <v>32</v>
      </c>
      <c r="E160">
        <v>6</v>
      </c>
      <c r="F160">
        <v>772</v>
      </c>
      <c r="G160">
        <v>772</v>
      </c>
      <c r="H160">
        <v>70</v>
      </c>
      <c r="I160">
        <v>54040</v>
      </c>
      <c r="J160">
        <v>8106</v>
      </c>
      <c r="K160">
        <v>62146</v>
      </c>
    </row>
    <row r="161" spans="1:11" x14ac:dyDescent="0.25">
      <c r="A161" s="1">
        <v>45832</v>
      </c>
      <c r="B161" t="s">
        <v>65</v>
      </c>
      <c r="C161" t="s">
        <v>29</v>
      </c>
      <c r="D161" t="s">
        <v>14</v>
      </c>
      <c r="E161">
        <v>8</v>
      </c>
      <c r="F161">
        <v>1000</v>
      </c>
      <c r="G161">
        <v>1000</v>
      </c>
      <c r="H161">
        <v>70</v>
      </c>
      <c r="I161">
        <v>70000</v>
      </c>
      <c r="J161">
        <v>10500</v>
      </c>
      <c r="K161">
        <v>80500</v>
      </c>
    </row>
    <row r="162" spans="1:11" x14ac:dyDescent="0.25">
      <c r="A162" s="1">
        <v>1111</v>
      </c>
      <c r="B162" t="s">
        <v>65</v>
      </c>
      <c r="C162" t="s">
        <v>40</v>
      </c>
      <c r="D162" t="s">
        <v>17</v>
      </c>
      <c r="E162">
        <v>6</v>
      </c>
      <c r="F162">
        <v>355</v>
      </c>
      <c r="G162">
        <v>355</v>
      </c>
      <c r="H162">
        <v>70</v>
      </c>
      <c r="I162">
        <v>24850</v>
      </c>
      <c r="J162">
        <v>3727.5</v>
      </c>
      <c r="K162">
        <v>28577.5</v>
      </c>
    </row>
    <row r="163" spans="1:11" x14ac:dyDescent="0.25">
      <c r="A163" s="1">
        <v>45829</v>
      </c>
      <c r="B163" t="s">
        <v>70</v>
      </c>
      <c r="C163" t="s">
        <v>67</v>
      </c>
      <c r="D163" t="s">
        <v>27</v>
      </c>
      <c r="E163">
        <v>7</v>
      </c>
      <c r="F163">
        <v>2467</v>
      </c>
      <c r="G163">
        <v>2464</v>
      </c>
      <c r="H163">
        <v>90</v>
      </c>
      <c r="I163">
        <v>221760</v>
      </c>
      <c r="J163">
        <v>33264</v>
      </c>
      <c r="K163">
        <v>255024</v>
      </c>
    </row>
    <row r="164" spans="1:11" x14ac:dyDescent="0.25">
      <c r="A164" s="1">
        <v>45832</v>
      </c>
      <c r="B164" t="s">
        <v>70</v>
      </c>
      <c r="C164" t="s">
        <v>28</v>
      </c>
      <c r="D164" t="s">
        <v>27</v>
      </c>
      <c r="E164">
        <v>7</v>
      </c>
      <c r="F164">
        <v>2615</v>
      </c>
      <c r="G164">
        <v>2615</v>
      </c>
      <c r="H164">
        <v>90</v>
      </c>
      <c r="I164">
        <v>235350</v>
      </c>
      <c r="J164">
        <v>35302.5</v>
      </c>
      <c r="K164">
        <v>270652.5</v>
      </c>
    </row>
    <row r="165" spans="1:11" x14ac:dyDescent="0.25">
      <c r="A165" s="1">
        <v>45833</v>
      </c>
      <c r="B165" t="s">
        <v>60</v>
      </c>
      <c r="C165" t="s">
        <v>119</v>
      </c>
      <c r="D165" t="s">
        <v>57</v>
      </c>
      <c r="E165">
        <v>18</v>
      </c>
      <c r="F165">
        <v>9.25</v>
      </c>
      <c r="G165">
        <v>16.86</v>
      </c>
      <c r="H165">
        <v>2400</v>
      </c>
      <c r="I165">
        <v>40464</v>
      </c>
      <c r="J165">
        <v>6069.6</v>
      </c>
      <c r="K165">
        <v>46533.599999999999</v>
      </c>
    </row>
    <row r="166" spans="1:11" x14ac:dyDescent="0.25">
      <c r="A166" s="1">
        <v>45833</v>
      </c>
      <c r="B166" t="s">
        <v>120</v>
      </c>
      <c r="C166" t="s">
        <v>67</v>
      </c>
      <c r="D166" t="s">
        <v>27</v>
      </c>
      <c r="E166">
        <v>3</v>
      </c>
      <c r="F166">
        <v>1890</v>
      </c>
      <c r="G166">
        <v>1890</v>
      </c>
      <c r="H166">
        <v>5</v>
      </c>
      <c r="I166">
        <v>9450</v>
      </c>
      <c r="J166">
        <v>1417.5</v>
      </c>
      <c r="K166">
        <v>10867.5</v>
      </c>
    </row>
    <row r="167" spans="1:11" x14ac:dyDescent="0.25">
      <c r="A167" s="1">
        <v>45833</v>
      </c>
      <c r="B167" t="s">
        <v>120</v>
      </c>
      <c r="C167" t="s">
        <v>37</v>
      </c>
      <c r="D167" t="s">
        <v>26</v>
      </c>
      <c r="E167">
        <v>3</v>
      </c>
      <c r="F167">
        <v>2499</v>
      </c>
      <c r="G167">
        <v>2499</v>
      </c>
      <c r="H167">
        <v>5</v>
      </c>
      <c r="I167">
        <v>12495</v>
      </c>
      <c r="J167">
        <v>1874.25</v>
      </c>
      <c r="K167">
        <v>14369.25</v>
      </c>
    </row>
    <row r="168" spans="1:11" x14ac:dyDescent="0.25">
      <c r="A168" s="1">
        <v>45833</v>
      </c>
      <c r="B168" t="s">
        <v>65</v>
      </c>
      <c r="C168" t="s">
        <v>37</v>
      </c>
      <c r="D168" t="s">
        <v>14</v>
      </c>
      <c r="E168">
        <v>10</v>
      </c>
      <c r="F168">
        <v>1584</v>
      </c>
      <c r="G168">
        <v>1584</v>
      </c>
      <c r="H168">
        <v>70</v>
      </c>
      <c r="I168">
        <v>110880</v>
      </c>
      <c r="J168">
        <v>16632</v>
      </c>
      <c r="K168">
        <v>127512</v>
      </c>
    </row>
    <row r="169" spans="1:11" x14ac:dyDescent="0.25">
      <c r="A169" s="1">
        <v>45833</v>
      </c>
      <c r="B169" t="s">
        <v>65</v>
      </c>
      <c r="C169" t="s">
        <v>72</v>
      </c>
      <c r="D169" t="s">
        <v>32</v>
      </c>
      <c r="E169">
        <v>7</v>
      </c>
      <c r="F169">
        <v>530</v>
      </c>
      <c r="G169">
        <v>530</v>
      </c>
      <c r="H169">
        <v>70</v>
      </c>
      <c r="I169">
        <v>37100</v>
      </c>
      <c r="J169">
        <v>5565</v>
      </c>
      <c r="K169">
        <v>42665</v>
      </c>
    </row>
    <row r="170" spans="1:11" x14ac:dyDescent="0.25">
      <c r="A170" s="1">
        <v>45833</v>
      </c>
      <c r="B170" t="s">
        <v>120</v>
      </c>
      <c r="C170" t="s">
        <v>29</v>
      </c>
      <c r="D170" t="s">
        <v>11</v>
      </c>
      <c r="E170">
        <v>2</v>
      </c>
      <c r="F170">
        <v>1900</v>
      </c>
      <c r="G170">
        <v>1900</v>
      </c>
      <c r="H170">
        <v>5</v>
      </c>
      <c r="I170">
        <v>9500</v>
      </c>
      <c r="J170">
        <v>1425</v>
      </c>
      <c r="K170">
        <v>10925</v>
      </c>
    </row>
    <row r="171" spans="1:11" x14ac:dyDescent="0.25">
      <c r="A171" s="1">
        <v>45834</v>
      </c>
      <c r="B171" t="s">
        <v>65</v>
      </c>
      <c r="C171" t="s">
        <v>121</v>
      </c>
      <c r="D171" t="s">
        <v>17</v>
      </c>
      <c r="E171">
        <v>5</v>
      </c>
      <c r="F171">
        <v>111</v>
      </c>
      <c r="G171">
        <v>111</v>
      </c>
      <c r="H171">
        <v>70</v>
      </c>
      <c r="I171">
        <v>7770</v>
      </c>
      <c r="J171">
        <v>1165.5</v>
      </c>
      <c r="K171">
        <v>8935.5</v>
      </c>
    </row>
    <row r="172" spans="1:11" x14ac:dyDescent="0.25">
      <c r="A172" s="1">
        <v>45847</v>
      </c>
      <c r="B172" t="s">
        <v>65</v>
      </c>
      <c r="C172" t="s">
        <v>86</v>
      </c>
      <c r="D172" t="s">
        <v>17</v>
      </c>
      <c r="E172">
        <v>2</v>
      </c>
      <c r="F172">
        <v>202</v>
      </c>
      <c r="G172">
        <v>202</v>
      </c>
      <c r="H172">
        <v>70</v>
      </c>
      <c r="I172">
        <v>14140</v>
      </c>
      <c r="J172">
        <v>2121</v>
      </c>
      <c r="K172">
        <v>16261</v>
      </c>
    </row>
    <row r="173" spans="1:11" x14ac:dyDescent="0.25">
      <c r="A173" s="1">
        <v>45833</v>
      </c>
      <c r="B173" t="s">
        <v>65</v>
      </c>
      <c r="C173" t="s">
        <v>72</v>
      </c>
      <c r="D173" t="s">
        <v>14</v>
      </c>
      <c r="E173">
        <v>31</v>
      </c>
      <c r="F173">
        <v>30</v>
      </c>
      <c r="G173">
        <v>1500</v>
      </c>
      <c r="H173">
        <v>70</v>
      </c>
      <c r="I173">
        <v>105000</v>
      </c>
      <c r="J173">
        <v>15750</v>
      </c>
      <c r="K173">
        <v>120750</v>
      </c>
    </row>
    <row r="174" spans="1:11" x14ac:dyDescent="0.25">
      <c r="A174" s="1">
        <v>45833</v>
      </c>
      <c r="B174" t="s">
        <v>65</v>
      </c>
      <c r="C174" t="s">
        <v>40</v>
      </c>
      <c r="D174" t="s">
        <v>32</v>
      </c>
      <c r="E174">
        <v>21</v>
      </c>
      <c r="F174">
        <v>811</v>
      </c>
      <c r="G174">
        <v>811</v>
      </c>
      <c r="H174">
        <v>70</v>
      </c>
      <c r="I174">
        <v>56770</v>
      </c>
      <c r="J174">
        <v>8515.5</v>
      </c>
      <c r="K174">
        <v>65285.5</v>
      </c>
    </row>
    <row r="175" spans="1:11" x14ac:dyDescent="0.25">
      <c r="A175" s="1">
        <v>45834</v>
      </c>
      <c r="B175" t="s">
        <v>65</v>
      </c>
      <c r="C175" t="s">
        <v>18</v>
      </c>
      <c r="D175" t="s">
        <v>24</v>
      </c>
      <c r="E175">
        <v>7</v>
      </c>
      <c r="F175">
        <v>588</v>
      </c>
      <c r="G175">
        <v>588</v>
      </c>
      <c r="H175">
        <v>70</v>
      </c>
      <c r="I175">
        <v>41160</v>
      </c>
      <c r="J175">
        <v>6174</v>
      </c>
      <c r="K175">
        <v>47334</v>
      </c>
    </row>
    <row r="176" spans="1:11" x14ac:dyDescent="0.25">
      <c r="A176" s="1">
        <v>45833</v>
      </c>
      <c r="B176" t="s">
        <v>120</v>
      </c>
      <c r="C176" t="s">
        <v>40</v>
      </c>
      <c r="D176" t="s">
        <v>26</v>
      </c>
      <c r="E176">
        <v>2</v>
      </c>
      <c r="F176">
        <v>1170</v>
      </c>
      <c r="G176">
        <v>1170</v>
      </c>
      <c r="H176">
        <v>5</v>
      </c>
      <c r="I176">
        <v>5850</v>
      </c>
      <c r="J176">
        <v>877.5</v>
      </c>
      <c r="K176">
        <v>6727.5</v>
      </c>
    </row>
    <row r="177" spans="1:11" x14ac:dyDescent="0.25">
      <c r="A177" s="1">
        <v>45833</v>
      </c>
      <c r="B177" t="s">
        <v>120</v>
      </c>
      <c r="C177" t="s">
        <v>81</v>
      </c>
      <c r="D177" t="s">
        <v>27</v>
      </c>
      <c r="E177">
        <v>3</v>
      </c>
      <c r="F177">
        <v>2100</v>
      </c>
      <c r="G177">
        <v>2100</v>
      </c>
      <c r="H177">
        <v>5</v>
      </c>
      <c r="I177">
        <v>10500</v>
      </c>
      <c r="J177">
        <v>1575</v>
      </c>
      <c r="K177">
        <v>12075</v>
      </c>
    </row>
    <row r="178" spans="1:11" x14ac:dyDescent="0.25">
      <c r="A178" s="1">
        <v>45833</v>
      </c>
      <c r="B178" t="s">
        <v>122</v>
      </c>
      <c r="C178" t="s">
        <v>21</v>
      </c>
      <c r="D178" t="s">
        <v>32</v>
      </c>
      <c r="E178">
        <v>4</v>
      </c>
      <c r="F178">
        <v>236</v>
      </c>
      <c r="G178">
        <v>236</v>
      </c>
      <c r="H178">
        <v>90</v>
      </c>
      <c r="I178">
        <v>21240</v>
      </c>
      <c r="J178">
        <v>3186</v>
      </c>
      <c r="K178">
        <v>24426</v>
      </c>
    </row>
    <row r="179" spans="1:11" x14ac:dyDescent="0.25">
      <c r="A179" s="1">
        <v>45833</v>
      </c>
      <c r="B179" t="s">
        <v>9</v>
      </c>
      <c r="C179" t="s">
        <v>93</v>
      </c>
      <c r="D179" t="s">
        <v>27</v>
      </c>
      <c r="E179">
        <v>4</v>
      </c>
      <c r="F179">
        <v>0</v>
      </c>
      <c r="G179">
        <v>4</v>
      </c>
      <c r="H179" s="2">
        <v>3000</v>
      </c>
      <c r="I179">
        <v>12000</v>
      </c>
      <c r="J179">
        <v>1800</v>
      </c>
      <c r="K179">
        <v>13800</v>
      </c>
    </row>
    <row r="180" spans="1:11" x14ac:dyDescent="0.25">
      <c r="A180" s="1">
        <v>45833</v>
      </c>
      <c r="B180" t="s">
        <v>60</v>
      </c>
      <c r="C180" t="s">
        <v>123</v>
      </c>
      <c r="D180" t="s">
        <v>19</v>
      </c>
      <c r="E180">
        <v>5</v>
      </c>
      <c r="F180">
        <v>19.559999999999999</v>
      </c>
      <c r="G180">
        <v>19.559999999999999</v>
      </c>
      <c r="H180">
        <v>2400</v>
      </c>
      <c r="I180">
        <v>46944</v>
      </c>
      <c r="J180">
        <v>7041.6</v>
      </c>
      <c r="K180">
        <v>53985.599999999999</v>
      </c>
    </row>
    <row r="181" spans="1:11" x14ac:dyDescent="0.25">
      <c r="A181" s="1">
        <v>45833</v>
      </c>
      <c r="B181" t="s">
        <v>9</v>
      </c>
      <c r="C181" t="s">
        <v>115</v>
      </c>
      <c r="D181" t="s">
        <v>11</v>
      </c>
      <c r="E181">
        <v>5</v>
      </c>
      <c r="F181">
        <v>1</v>
      </c>
      <c r="G181">
        <v>5</v>
      </c>
      <c r="H181" s="2">
        <v>3000</v>
      </c>
      <c r="I181">
        <v>15000</v>
      </c>
      <c r="J181">
        <v>2250</v>
      </c>
      <c r="K181">
        <v>17250</v>
      </c>
    </row>
    <row r="182" spans="1:11" x14ac:dyDescent="0.25">
      <c r="A182" s="1">
        <v>45833</v>
      </c>
      <c r="B182" t="s">
        <v>80</v>
      </c>
      <c r="C182" t="s">
        <v>81</v>
      </c>
      <c r="D182" t="s">
        <v>22</v>
      </c>
      <c r="E182">
        <v>7</v>
      </c>
      <c r="F182">
        <v>159</v>
      </c>
      <c r="G182">
        <v>159</v>
      </c>
      <c r="H182">
        <v>70</v>
      </c>
      <c r="I182">
        <v>11130</v>
      </c>
      <c r="J182">
        <v>1669.5</v>
      </c>
      <c r="K182">
        <v>12799.5</v>
      </c>
    </row>
    <row r="183" spans="1:11" x14ac:dyDescent="0.25">
      <c r="A183" s="1">
        <v>45833</v>
      </c>
      <c r="B183" t="s">
        <v>65</v>
      </c>
      <c r="C183" t="s">
        <v>81</v>
      </c>
      <c r="D183" t="s">
        <v>14</v>
      </c>
      <c r="E183">
        <v>6</v>
      </c>
      <c r="F183">
        <v>1533</v>
      </c>
      <c r="G183">
        <v>1500</v>
      </c>
      <c r="H183">
        <v>70</v>
      </c>
      <c r="I183">
        <v>105000</v>
      </c>
      <c r="J183">
        <v>15750</v>
      </c>
      <c r="K183">
        <v>120750</v>
      </c>
    </row>
    <row r="184" spans="1:11" x14ac:dyDescent="0.25">
      <c r="A184" s="1">
        <v>45833</v>
      </c>
      <c r="B184" t="s">
        <v>65</v>
      </c>
      <c r="C184" t="s">
        <v>81</v>
      </c>
      <c r="D184" t="s">
        <v>59</v>
      </c>
      <c r="E184">
        <v>9</v>
      </c>
      <c r="F184">
        <v>1000</v>
      </c>
      <c r="G184">
        <v>1000</v>
      </c>
      <c r="H184">
        <v>70</v>
      </c>
      <c r="I184">
        <v>70000</v>
      </c>
      <c r="J184">
        <v>10500</v>
      </c>
      <c r="K184">
        <v>80500</v>
      </c>
    </row>
    <row r="185" spans="1:11" x14ac:dyDescent="0.25">
      <c r="A185" s="1">
        <v>45833</v>
      </c>
      <c r="B185" t="s">
        <v>65</v>
      </c>
      <c r="C185" t="s">
        <v>99</v>
      </c>
      <c r="D185" t="s">
        <v>14</v>
      </c>
      <c r="E185">
        <v>15</v>
      </c>
      <c r="F185">
        <v>1917</v>
      </c>
      <c r="G185">
        <v>1000</v>
      </c>
      <c r="H185">
        <v>70</v>
      </c>
      <c r="I185">
        <v>70000</v>
      </c>
      <c r="J185">
        <v>10500</v>
      </c>
      <c r="K185">
        <v>80500</v>
      </c>
    </row>
    <row r="186" spans="1:11" x14ac:dyDescent="0.25">
      <c r="A186" s="1">
        <v>45833</v>
      </c>
      <c r="B186" t="s">
        <v>65</v>
      </c>
      <c r="C186" t="s">
        <v>99</v>
      </c>
      <c r="D186" t="s">
        <v>59</v>
      </c>
      <c r="E186">
        <v>9</v>
      </c>
      <c r="F186">
        <v>1000</v>
      </c>
      <c r="G186">
        <v>2000</v>
      </c>
      <c r="H186">
        <v>70</v>
      </c>
      <c r="I186">
        <v>140000</v>
      </c>
      <c r="J186">
        <v>21000</v>
      </c>
      <c r="K186">
        <v>161000</v>
      </c>
    </row>
    <row r="187" spans="1:11" x14ac:dyDescent="0.25">
      <c r="A187" s="1">
        <v>45833</v>
      </c>
      <c r="B187" t="s">
        <v>12</v>
      </c>
      <c r="C187" t="s">
        <v>121</v>
      </c>
      <c r="D187" t="s">
        <v>57</v>
      </c>
      <c r="E187">
        <v>11</v>
      </c>
      <c r="F187">
        <v>1</v>
      </c>
      <c r="G187">
        <v>16.88</v>
      </c>
      <c r="H187">
        <v>20000</v>
      </c>
      <c r="I187">
        <v>337600</v>
      </c>
      <c r="J187">
        <v>50640</v>
      </c>
      <c r="K187">
        <v>388240</v>
      </c>
    </row>
    <row r="188" spans="1:11" x14ac:dyDescent="0.25">
      <c r="A188" s="1">
        <v>45833</v>
      </c>
      <c r="B188" t="s">
        <v>12</v>
      </c>
      <c r="C188" t="s">
        <v>124</v>
      </c>
      <c r="D188" t="s">
        <v>17</v>
      </c>
      <c r="E188">
        <v>32</v>
      </c>
      <c r="F188">
        <v>23</v>
      </c>
      <c r="G188">
        <v>17.48</v>
      </c>
      <c r="H188">
        <v>20000</v>
      </c>
      <c r="I188">
        <v>349600</v>
      </c>
      <c r="J188">
        <v>52440</v>
      </c>
      <c r="K188">
        <v>402040</v>
      </c>
    </row>
    <row r="189" spans="1:11" x14ac:dyDescent="0.25">
      <c r="A189" s="1">
        <v>45833</v>
      </c>
      <c r="B189" t="s">
        <v>60</v>
      </c>
      <c r="C189" t="s">
        <v>125</v>
      </c>
      <c r="D189" t="s">
        <v>19</v>
      </c>
      <c r="E189">
        <v>5</v>
      </c>
      <c r="F189">
        <v>3.08</v>
      </c>
      <c r="G189">
        <v>3.08</v>
      </c>
      <c r="H189">
        <v>2400</v>
      </c>
      <c r="I189">
        <v>7392</v>
      </c>
      <c r="J189">
        <v>1108.8</v>
      </c>
      <c r="K189">
        <v>8500.7999999999993</v>
      </c>
    </row>
    <row r="190" spans="1:11" x14ac:dyDescent="0.25">
      <c r="A190" s="1">
        <v>45833</v>
      </c>
      <c r="B190" t="s">
        <v>120</v>
      </c>
      <c r="C190" t="s">
        <v>121</v>
      </c>
      <c r="D190" t="s">
        <v>27</v>
      </c>
      <c r="E190">
        <v>1</v>
      </c>
      <c r="F190">
        <v>2317</v>
      </c>
      <c r="G190">
        <v>2317</v>
      </c>
      <c r="H190">
        <v>5</v>
      </c>
      <c r="I190">
        <v>11585</v>
      </c>
      <c r="J190">
        <v>1737.75</v>
      </c>
      <c r="K190">
        <v>13322.75</v>
      </c>
    </row>
    <row r="191" spans="1:11" x14ac:dyDescent="0.25">
      <c r="A191" s="1">
        <v>45833</v>
      </c>
      <c r="B191" t="s">
        <v>120</v>
      </c>
      <c r="C191" t="s">
        <v>126</v>
      </c>
      <c r="D191" t="s">
        <v>26</v>
      </c>
      <c r="E191">
        <v>2</v>
      </c>
      <c r="F191">
        <v>1390</v>
      </c>
      <c r="G191">
        <v>1390</v>
      </c>
      <c r="H191">
        <v>5</v>
      </c>
      <c r="I191">
        <v>6950</v>
      </c>
      <c r="J191">
        <v>1042.5</v>
      </c>
      <c r="K191">
        <v>7992.5</v>
      </c>
    </row>
    <row r="192" spans="1:11" x14ac:dyDescent="0.25">
      <c r="A192" s="1">
        <v>45833</v>
      </c>
      <c r="B192" t="s">
        <v>120</v>
      </c>
      <c r="C192" t="s">
        <v>72</v>
      </c>
      <c r="D192" t="s">
        <v>26</v>
      </c>
      <c r="E192">
        <v>1</v>
      </c>
      <c r="F192">
        <v>2112</v>
      </c>
      <c r="G192">
        <v>2112</v>
      </c>
      <c r="H192">
        <v>5</v>
      </c>
      <c r="I192">
        <v>10560</v>
      </c>
      <c r="J192">
        <v>1584</v>
      </c>
      <c r="K192">
        <v>12144</v>
      </c>
    </row>
    <row r="193" spans="1:11" x14ac:dyDescent="0.25">
      <c r="A193" s="1">
        <v>45833</v>
      </c>
      <c r="B193" t="s">
        <v>36</v>
      </c>
      <c r="C193" t="s">
        <v>127</v>
      </c>
      <c r="D193" t="s">
        <v>32</v>
      </c>
      <c r="E193">
        <v>5</v>
      </c>
      <c r="F193">
        <v>34</v>
      </c>
      <c r="G193">
        <v>14.75</v>
      </c>
      <c r="H193">
        <v>2400</v>
      </c>
      <c r="I193">
        <v>35400</v>
      </c>
      <c r="J193">
        <v>5310</v>
      </c>
      <c r="K193">
        <v>40710</v>
      </c>
    </row>
    <row r="194" spans="1:11" x14ac:dyDescent="0.25">
      <c r="A194" s="1">
        <v>45833</v>
      </c>
      <c r="B194" t="s">
        <v>36</v>
      </c>
      <c r="C194" t="s">
        <v>114</v>
      </c>
      <c r="D194" t="s">
        <v>24</v>
      </c>
      <c r="E194">
        <v>7</v>
      </c>
      <c r="F194">
        <v>5</v>
      </c>
      <c r="G194">
        <v>0.65</v>
      </c>
      <c r="H194">
        <v>2400</v>
      </c>
      <c r="I194">
        <v>1560</v>
      </c>
      <c r="J194">
        <v>234</v>
      </c>
      <c r="K194">
        <v>1794</v>
      </c>
    </row>
    <row r="195" spans="1:11" x14ac:dyDescent="0.25">
      <c r="A195" s="1">
        <v>45833</v>
      </c>
      <c r="B195" t="s">
        <v>36</v>
      </c>
      <c r="C195" t="s">
        <v>128</v>
      </c>
      <c r="D195" t="s">
        <v>17</v>
      </c>
      <c r="E195">
        <v>7</v>
      </c>
      <c r="F195">
        <v>4</v>
      </c>
      <c r="G195">
        <v>15</v>
      </c>
      <c r="H195">
        <v>2400</v>
      </c>
      <c r="I195">
        <v>36000</v>
      </c>
      <c r="J195">
        <v>5400</v>
      </c>
      <c r="K195">
        <v>41400</v>
      </c>
    </row>
    <row r="196" spans="1:11" x14ac:dyDescent="0.25">
      <c r="A196" s="1">
        <v>45833</v>
      </c>
      <c r="B196" t="s">
        <v>39</v>
      </c>
      <c r="C196" t="s">
        <v>129</v>
      </c>
      <c r="D196" t="s">
        <v>27</v>
      </c>
      <c r="E196">
        <v>5</v>
      </c>
      <c r="F196">
        <v>2</v>
      </c>
      <c r="G196">
        <v>2</v>
      </c>
      <c r="H196">
        <v>2500</v>
      </c>
      <c r="I196">
        <v>5000</v>
      </c>
      <c r="J196">
        <v>750</v>
      </c>
      <c r="K196">
        <v>5750</v>
      </c>
    </row>
    <row r="197" spans="1:11" x14ac:dyDescent="0.25">
      <c r="A197" s="1">
        <v>45833</v>
      </c>
      <c r="B197" t="s">
        <v>44</v>
      </c>
      <c r="C197" t="s">
        <v>13</v>
      </c>
      <c r="D197" t="s">
        <v>63</v>
      </c>
      <c r="E197">
        <v>14</v>
      </c>
      <c r="F197">
        <v>20</v>
      </c>
      <c r="G197">
        <v>20</v>
      </c>
      <c r="H197">
        <v>70</v>
      </c>
      <c r="I197">
        <v>1400</v>
      </c>
      <c r="J197">
        <v>210</v>
      </c>
      <c r="K197">
        <v>1610</v>
      </c>
    </row>
    <row r="198" spans="1:11" x14ac:dyDescent="0.25">
      <c r="A198" s="1">
        <v>45833</v>
      </c>
      <c r="B198" t="s">
        <v>120</v>
      </c>
      <c r="C198" t="s">
        <v>46</v>
      </c>
      <c r="D198" t="s">
        <v>11</v>
      </c>
      <c r="E198">
        <v>3</v>
      </c>
      <c r="F198">
        <v>1810</v>
      </c>
      <c r="G198">
        <v>1810</v>
      </c>
      <c r="H198">
        <v>5</v>
      </c>
      <c r="I198">
        <v>9050</v>
      </c>
      <c r="J198">
        <v>1357.5</v>
      </c>
      <c r="K198">
        <v>10407.5</v>
      </c>
    </row>
    <row r="199" spans="1:11" x14ac:dyDescent="0.25">
      <c r="A199" s="1">
        <v>45836</v>
      </c>
      <c r="B199" t="s">
        <v>120</v>
      </c>
      <c r="C199" t="s">
        <v>55</v>
      </c>
      <c r="D199" t="s">
        <v>26</v>
      </c>
      <c r="E199">
        <v>10</v>
      </c>
      <c r="F199">
        <v>2620</v>
      </c>
      <c r="G199">
        <v>2620</v>
      </c>
      <c r="H199">
        <v>5</v>
      </c>
      <c r="I199">
        <v>13100</v>
      </c>
      <c r="J199">
        <v>1965</v>
      </c>
      <c r="K199">
        <v>15065</v>
      </c>
    </row>
    <row r="200" spans="1:11" x14ac:dyDescent="0.25">
      <c r="A200" s="1">
        <v>45833</v>
      </c>
      <c r="B200" t="s">
        <v>44</v>
      </c>
      <c r="C200" t="s">
        <v>23</v>
      </c>
      <c r="D200" t="s">
        <v>57</v>
      </c>
      <c r="E200">
        <v>3</v>
      </c>
      <c r="F200">
        <v>249</v>
      </c>
      <c r="G200">
        <v>249</v>
      </c>
      <c r="H200">
        <v>70</v>
      </c>
      <c r="I200">
        <v>17430</v>
      </c>
      <c r="J200">
        <v>2614.5</v>
      </c>
      <c r="K200">
        <v>20044.5</v>
      </c>
    </row>
    <row r="201" spans="1:11" x14ac:dyDescent="0.25">
      <c r="A201" s="1">
        <v>45833</v>
      </c>
      <c r="B201" t="s">
        <v>58</v>
      </c>
      <c r="C201" t="s">
        <v>130</v>
      </c>
      <c r="D201" t="s">
        <v>59</v>
      </c>
      <c r="E201">
        <v>4</v>
      </c>
      <c r="F201">
        <v>7517</v>
      </c>
      <c r="G201">
        <v>7517</v>
      </c>
      <c r="H201">
        <v>25</v>
      </c>
      <c r="I201">
        <v>187925</v>
      </c>
      <c r="J201">
        <v>28188.75</v>
      </c>
      <c r="K201">
        <v>216113.75</v>
      </c>
    </row>
    <row r="202" spans="1:11" x14ac:dyDescent="0.25">
      <c r="A202" s="1">
        <v>45833</v>
      </c>
      <c r="B202" t="s">
        <v>20</v>
      </c>
      <c r="C202" t="s">
        <v>50</v>
      </c>
      <c r="D202" t="s">
        <v>26</v>
      </c>
      <c r="E202">
        <v>13</v>
      </c>
      <c r="F202">
        <v>93</v>
      </c>
      <c r="G202">
        <v>93</v>
      </c>
      <c r="H202">
        <v>90</v>
      </c>
      <c r="I202">
        <v>8370</v>
      </c>
      <c r="J202">
        <v>1255.5</v>
      </c>
      <c r="K202">
        <v>9625.5</v>
      </c>
    </row>
    <row r="203" spans="1:11" x14ac:dyDescent="0.25">
      <c r="A203" s="1">
        <v>45833</v>
      </c>
      <c r="B203" t="s">
        <v>20</v>
      </c>
      <c r="C203" t="s">
        <v>100</v>
      </c>
      <c r="D203" t="s">
        <v>22</v>
      </c>
      <c r="E203">
        <v>5</v>
      </c>
      <c r="F203">
        <v>500</v>
      </c>
      <c r="G203">
        <v>500</v>
      </c>
      <c r="H203">
        <v>90</v>
      </c>
      <c r="I203">
        <v>45000</v>
      </c>
      <c r="J203">
        <v>6750</v>
      </c>
      <c r="K203">
        <v>51750</v>
      </c>
    </row>
    <row r="204" spans="1:11" x14ac:dyDescent="0.25">
      <c r="A204" s="1">
        <v>45833</v>
      </c>
      <c r="B204" t="s">
        <v>20</v>
      </c>
      <c r="C204" t="s">
        <v>100</v>
      </c>
      <c r="D204" t="s">
        <v>17</v>
      </c>
      <c r="E204">
        <v>20</v>
      </c>
      <c r="F204">
        <v>138</v>
      </c>
      <c r="G204">
        <v>138</v>
      </c>
      <c r="H204">
        <v>90</v>
      </c>
      <c r="I204">
        <v>12420</v>
      </c>
      <c r="J204">
        <v>1863</v>
      </c>
      <c r="K204">
        <v>14283</v>
      </c>
    </row>
    <row r="205" spans="1:11" x14ac:dyDescent="0.25">
      <c r="A205" s="1">
        <v>45833</v>
      </c>
      <c r="B205" t="s">
        <v>34</v>
      </c>
      <c r="C205" t="s">
        <v>111</v>
      </c>
      <c r="D205" t="s">
        <v>19</v>
      </c>
      <c r="E205">
        <v>2</v>
      </c>
      <c r="F205">
        <v>1092</v>
      </c>
      <c r="G205">
        <v>905</v>
      </c>
      <c r="H205">
        <v>12</v>
      </c>
      <c r="I205">
        <v>10860</v>
      </c>
      <c r="J205">
        <v>1629</v>
      </c>
      <c r="K205">
        <v>12489</v>
      </c>
    </row>
    <row r="206" spans="1:11" x14ac:dyDescent="0.25">
      <c r="A206" s="1">
        <v>45833</v>
      </c>
      <c r="B206" t="s">
        <v>34</v>
      </c>
      <c r="C206" t="s">
        <v>100</v>
      </c>
      <c r="D206" t="s">
        <v>17</v>
      </c>
      <c r="F206">
        <v>1274</v>
      </c>
      <c r="G206">
        <v>1000</v>
      </c>
      <c r="H206">
        <v>12</v>
      </c>
      <c r="I206">
        <v>12000</v>
      </c>
      <c r="J206">
        <v>1800</v>
      </c>
      <c r="K206">
        <v>13800</v>
      </c>
    </row>
    <row r="207" spans="1:11" x14ac:dyDescent="0.25">
      <c r="A207" s="1">
        <v>45833</v>
      </c>
      <c r="B207" t="s">
        <v>42</v>
      </c>
      <c r="C207" t="s">
        <v>100</v>
      </c>
      <c r="D207" t="s">
        <v>32</v>
      </c>
      <c r="E207">
        <v>11</v>
      </c>
      <c r="F207">
        <v>872</v>
      </c>
      <c r="G207">
        <v>872</v>
      </c>
      <c r="H207">
        <v>70</v>
      </c>
      <c r="I207">
        <v>61040</v>
      </c>
      <c r="J207">
        <v>9156</v>
      </c>
      <c r="K207">
        <v>70196</v>
      </c>
    </row>
    <row r="208" spans="1:11" x14ac:dyDescent="0.25">
      <c r="A208" s="1">
        <v>45833</v>
      </c>
      <c r="B208" t="s">
        <v>34</v>
      </c>
      <c r="C208" t="s">
        <v>103</v>
      </c>
      <c r="D208" t="s">
        <v>17</v>
      </c>
      <c r="E208">
        <v>3</v>
      </c>
      <c r="F208">
        <v>610</v>
      </c>
      <c r="G208">
        <v>1000</v>
      </c>
      <c r="H208">
        <v>12</v>
      </c>
      <c r="I208">
        <v>12000</v>
      </c>
      <c r="J208">
        <v>1800</v>
      </c>
      <c r="K208">
        <v>13800</v>
      </c>
    </row>
    <row r="209" spans="1:11" x14ac:dyDescent="0.25">
      <c r="A209" s="1">
        <v>45835</v>
      </c>
      <c r="B209" t="s">
        <v>42</v>
      </c>
      <c r="C209" t="s">
        <v>96</v>
      </c>
      <c r="D209" t="s">
        <v>32</v>
      </c>
      <c r="E209">
        <v>10</v>
      </c>
      <c r="F209">
        <v>719</v>
      </c>
      <c r="G209">
        <v>719</v>
      </c>
      <c r="H209">
        <v>70</v>
      </c>
      <c r="I209">
        <v>50330</v>
      </c>
      <c r="J209">
        <v>7549.5</v>
      </c>
      <c r="K209">
        <v>57879.5</v>
      </c>
    </row>
    <row r="210" spans="1:11" x14ac:dyDescent="0.25">
      <c r="A210" s="1">
        <v>45833</v>
      </c>
      <c r="B210" t="s">
        <v>70</v>
      </c>
      <c r="C210" t="s">
        <v>13</v>
      </c>
      <c r="D210" t="s">
        <v>27</v>
      </c>
      <c r="E210">
        <v>5</v>
      </c>
      <c r="F210">
        <v>2158</v>
      </c>
      <c r="G210">
        <v>2158</v>
      </c>
      <c r="H210">
        <v>90</v>
      </c>
      <c r="I210">
        <v>194220</v>
      </c>
      <c r="J210">
        <v>29133</v>
      </c>
      <c r="K210">
        <v>223353</v>
      </c>
    </row>
    <row r="211" spans="1:11" x14ac:dyDescent="0.25">
      <c r="A211" s="1">
        <v>45833</v>
      </c>
      <c r="B211" t="s">
        <v>20</v>
      </c>
      <c r="C211" t="s">
        <v>100</v>
      </c>
      <c r="D211" t="s">
        <v>63</v>
      </c>
      <c r="E211">
        <v>7</v>
      </c>
      <c r="F211">
        <v>95</v>
      </c>
      <c r="G211">
        <v>95</v>
      </c>
      <c r="H211">
        <v>90</v>
      </c>
      <c r="I211">
        <v>8550</v>
      </c>
      <c r="J211">
        <v>1282.5</v>
      </c>
      <c r="K211">
        <v>9832.5</v>
      </c>
    </row>
    <row r="212" spans="1:11" x14ac:dyDescent="0.25">
      <c r="A212" s="1">
        <v>45833</v>
      </c>
      <c r="B212" t="s">
        <v>20</v>
      </c>
      <c r="C212" t="s">
        <v>43</v>
      </c>
      <c r="D212" t="s">
        <v>63</v>
      </c>
      <c r="E212">
        <v>5</v>
      </c>
      <c r="F212">
        <v>953</v>
      </c>
      <c r="G212">
        <v>953</v>
      </c>
      <c r="H212">
        <v>90</v>
      </c>
      <c r="I212">
        <v>85770</v>
      </c>
      <c r="J212">
        <v>12865.5</v>
      </c>
      <c r="K212">
        <v>98635.5</v>
      </c>
    </row>
    <row r="213" spans="1:11" x14ac:dyDescent="0.25">
      <c r="A213" s="1">
        <v>45836</v>
      </c>
      <c r="B213" t="s">
        <v>42</v>
      </c>
      <c r="C213" t="s">
        <v>67</v>
      </c>
      <c r="D213" t="s">
        <v>17</v>
      </c>
      <c r="E213">
        <v>10</v>
      </c>
      <c r="F213">
        <v>869</v>
      </c>
      <c r="G213">
        <v>869</v>
      </c>
      <c r="H213">
        <v>70</v>
      </c>
      <c r="I213">
        <v>60830</v>
      </c>
      <c r="J213">
        <v>9124.5</v>
      </c>
      <c r="K213">
        <v>69954.5</v>
      </c>
    </row>
    <row r="214" spans="1:11" x14ac:dyDescent="0.25">
      <c r="A214" s="1">
        <v>45834</v>
      </c>
      <c r="B214" t="s">
        <v>131</v>
      </c>
      <c r="C214" t="s">
        <v>132</v>
      </c>
      <c r="D214" t="s">
        <v>24</v>
      </c>
      <c r="E214">
        <v>5</v>
      </c>
      <c r="F214">
        <v>1</v>
      </c>
      <c r="G214">
        <v>5</v>
      </c>
      <c r="H214">
        <v>3000</v>
      </c>
      <c r="I214">
        <v>15000</v>
      </c>
      <c r="J214">
        <v>2250</v>
      </c>
      <c r="K214">
        <v>17250</v>
      </c>
    </row>
    <row r="215" spans="1:11" x14ac:dyDescent="0.25">
      <c r="A215" s="1">
        <v>45843</v>
      </c>
      <c r="B215" t="s">
        <v>65</v>
      </c>
      <c r="C215" t="s">
        <v>18</v>
      </c>
      <c r="D215" t="s">
        <v>17</v>
      </c>
      <c r="E215">
        <v>11</v>
      </c>
      <c r="F215">
        <v>112</v>
      </c>
      <c r="G215">
        <v>112</v>
      </c>
      <c r="H215">
        <v>70</v>
      </c>
      <c r="I215">
        <v>7840</v>
      </c>
      <c r="J215">
        <v>1176</v>
      </c>
      <c r="K215">
        <v>9016</v>
      </c>
    </row>
    <row r="216" spans="1:11" x14ac:dyDescent="0.25">
      <c r="A216" s="1">
        <v>45834</v>
      </c>
      <c r="B216" t="s">
        <v>39</v>
      </c>
      <c r="C216" t="s">
        <v>111</v>
      </c>
      <c r="D216" t="s">
        <v>32</v>
      </c>
      <c r="E216">
        <v>1</v>
      </c>
      <c r="F216">
        <v>0</v>
      </c>
      <c r="G216">
        <v>1</v>
      </c>
      <c r="H216">
        <v>2500</v>
      </c>
      <c r="I216">
        <v>2500</v>
      </c>
      <c r="J216">
        <v>375</v>
      </c>
      <c r="K216">
        <v>2875</v>
      </c>
    </row>
    <row r="217" spans="1:11" x14ac:dyDescent="0.25">
      <c r="A217" s="1">
        <v>45834</v>
      </c>
      <c r="B217" t="s">
        <v>75</v>
      </c>
      <c r="C217" t="s">
        <v>76</v>
      </c>
      <c r="D217" t="s">
        <v>108</v>
      </c>
      <c r="E217">
        <v>11</v>
      </c>
      <c r="F217">
        <v>0</v>
      </c>
      <c r="G217">
        <v>11</v>
      </c>
      <c r="H217">
        <v>3000</v>
      </c>
      <c r="I217">
        <v>33000</v>
      </c>
      <c r="J217">
        <v>4950</v>
      </c>
      <c r="K217">
        <v>37950</v>
      </c>
    </row>
    <row r="218" spans="1:11" x14ac:dyDescent="0.25">
      <c r="A218" s="1">
        <v>45834</v>
      </c>
      <c r="B218" t="s">
        <v>60</v>
      </c>
      <c r="C218" t="s">
        <v>133</v>
      </c>
      <c r="D218" t="s">
        <v>19</v>
      </c>
      <c r="E218">
        <v>8</v>
      </c>
      <c r="F218">
        <v>20.8</v>
      </c>
      <c r="G218">
        <v>20.8</v>
      </c>
      <c r="H218">
        <v>2400</v>
      </c>
      <c r="I218">
        <v>49920</v>
      </c>
      <c r="J218">
        <v>7488</v>
      </c>
      <c r="K218">
        <v>57408</v>
      </c>
    </row>
    <row r="219" spans="1:11" x14ac:dyDescent="0.25">
      <c r="A219" s="1">
        <v>45834</v>
      </c>
      <c r="B219" t="s">
        <v>65</v>
      </c>
      <c r="C219" t="s">
        <v>16</v>
      </c>
      <c r="D219" t="s">
        <v>24</v>
      </c>
      <c r="E219">
        <v>7</v>
      </c>
      <c r="F219">
        <v>771</v>
      </c>
      <c r="G219">
        <v>771</v>
      </c>
      <c r="H219">
        <v>70</v>
      </c>
      <c r="I219">
        <v>53970</v>
      </c>
      <c r="J219">
        <v>8095.5</v>
      </c>
      <c r="K219">
        <v>62065.5</v>
      </c>
    </row>
    <row r="220" spans="1:11" x14ac:dyDescent="0.25">
      <c r="A220" s="1">
        <v>45834</v>
      </c>
      <c r="B220" t="s">
        <v>65</v>
      </c>
      <c r="C220" t="s">
        <v>16</v>
      </c>
      <c r="D220" t="s">
        <v>17</v>
      </c>
      <c r="E220">
        <v>13</v>
      </c>
      <c r="F220">
        <v>156</v>
      </c>
      <c r="G220">
        <v>156</v>
      </c>
      <c r="H220">
        <v>70</v>
      </c>
      <c r="I220">
        <v>10920</v>
      </c>
      <c r="J220">
        <v>1638</v>
      </c>
      <c r="K220">
        <v>12558</v>
      </c>
    </row>
    <row r="221" spans="1:11" x14ac:dyDescent="0.25">
      <c r="A221" s="1">
        <v>45834</v>
      </c>
      <c r="B221" t="s">
        <v>65</v>
      </c>
      <c r="C221" t="s">
        <v>46</v>
      </c>
      <c r="D221" t="s">
        <v>24</v>
      </c>
      <c r="E221">
        <v>7</v>
      </c>
      <c r="F221">
        <v>345</v>
      </c>
      <c r="G221">
        <v>345</v>
      </c>
      <c r="H221">
        <v>70</v>
      </c>
      <c r="I221">
        <v>24150</v>
      </c>
      <c r="J221">
        <v>3622.5</v>
      </c>
      <c r="K221">
        <v>27772.5</v>
      </c>
    </row>
    <row r="222" spans="1:11" x14ac:dyDescent="0.25">
      <c r="A222" s="1">
        <v>45834</v>
      </c>
      <c r="B222" t="s">
        <v>65</v>
      </c>
      <c r="C222" t="s">
        <v>28</v>
      </c>
      <c r="D222" t="s">
        <v>32</v>
      </c>
      <c r="E222">
        <v>7</v>
      </c>
      <c r="F222">
        <v>870</v>
      </c>
      <c r="G222">
        <v>870</v>
      </c>
      <c r="H222">
        <v>70</v>
      </c>
      <c r="I222">
        <v>60900</v>
      </c>
      <c r="J222">
        <v>9135</v>
      </c>
      <c r="K222">
        <v>70035</v>
      </c>
    </row>
    <row r="223" spans="1:11" x14ac:dyDescent="0.25">
      <c r="A223" s="1">
        <v>45834</v>
      </c>
      <c r="B223" t="s">
        <v>134</v>
      </c>
      <c r="C223" t="s">
        <v>126</v>
      </c>
      <c r="D223" t="s">
        <v>17</v>
      </c>
      <c r="E223">
        <v>30</v>
      </c>
      <c r="F223">
        <v>12</v>
      </c>
      <c r="G223">
        <v>23.55</v>
      </c>
      <c r="H223">
        <v>15000</v>
      </c>
      <c r="I223">
        <v>353250</v>
      </c>
      <c r="J223">
        <v>52987.5</v>
      </c>
      <c r="K223">
        <v>406237.5</v>
      </c>
    </row>
    <row r="224" spans="1:11" x14ac:dyDescent="0.25">
      <c r="A224" s="1">
        <v>45834</v>
      </c>
      <c r="B224" t="s">
        <v>92</v>
      </c>
      <c r="C224" t="s">
        <v>38</v>
      </c>
      <c r="D224" t="s">
        <v>19</v>
      </c>
      <c r="E224">
        <v>5</v>
      </c>
      <c r="F224">
        <v>1</v>
      </c>
      <c r="G224">
        <v>5</v>
      </c>
      <c r="H224">
        <v>3000</v>
      </c>
      <c r="I224">
        <v>15000</v>
      </c>
      <c r="J224">
        <v>2250</v>
      </c>
      <c r="K224">
        <v>17250</v>
      </c>
    </row>
    <row r="225" spans="1:11" x14ac:dyDescent="0.25">
      <c r="A225" s="1">
        <v>45834</v>
      </c>
      <c r="B225" t="s">
        <v>134</v>
      </c>
      <c r="C225" t="s">
        <v>135</v>
      </c>
      <c r="D225" t="s">
        <v>17</v>
      </c>
      <c r="E225">
        <v>10</v>
      </c>
      <c r="F225">
        <v>11</v>
      </c>
      <c r="G225">
        <v>10</v>
      </c>
      <c r="H225">
        <v>15000</v>
      </c>
      <c r="I225">
        <v>150000</v>
      </c>
      <c r="J225">
        <v>22500</v>
      </c>
      <c r="K225">
        <v>172500</v>
      </c>
    </row>
    <row r="226" spans="1:11" x14ac:dyDescent="0.25">
      <c r="A226" s="1">
        <v>45833</v>
      </c>
      <c r="B226" t="s">
        <v>70</v>
      </c>
      <c r="C226" t="s">
        <v>136</v>
      </c>
      <c r="D226" t="s">
        <v>27</v>
      </c>
      <c r="E226">
        <v>5</v>
      </c>
      <c r="F226">
        <v>406</v>
      </c>
      <c r="G226">
        <v>406</v>
      </c>
      <c r="H226">
        <v>90</v>
      </c>
      <c r="I226">
        <v>36540</v>
      </c>
      <c r="J226">
        <v>5481</v>
      </c>
      <c r="K226">
        <v>42021</v>
      </c>
    </row>
    <row r="227" spans="1:11" x14ac:dyDescent="0.25">
      <c r="A227" s="1">
        <v>45833</v>
      </c>
      <c r="B227" t="s">
        <v>70</v>
      </c>
      <c r="C227" t="s">
        <v>68</v>
      </c>
      <c r="D227" t="s">
        <v>26</v>
      </c>
      <c r="E227">
        <v>8</v>
      </c>
      <c r="F227">
        <v>2629</v>
      </c>
      <c r="G227">
        <v>2629</v>
      </c>
      <c r="H227">
        <v>90</v>
      </c>
      <c r="I227">
        <v>236610</v>
      </c>
      <c r="J227">
        <v>35491.5</v>
      </c>
      <c r="K227">
        <v>272101.5</v>
      </c>
    </row>
    <row r="228" spans="1:11" x14ac:dyDescent="0.25">
      <c r="A228" s="1">
        <v>45833</v>
      </c>
      <c r="B228" t="s">
        <v>70</v>
      </c>
      <c r="C228" t="s">
        <v>29</v>
      </c>
      <c r="D228" t="s">
        <v>11</v>
      </c>
      <c r="E228">
        <v>6</v>
      </c>
      <c r="F228">
        <v>2387</v>
      </c>
      <c r="G228">
        <v>2387</v>
      </c>
      <c r="H228">
        <v>90</v>
      </c>
      <c r="I228">
        <v>214830</v>
      </c>
      <c r="J228">
        <v>32224.5</v>
      </c>
      <c r="K228">
        <v>247054.5</v>
      </c>
    </row>
    <row r="229" spans="1:11" x14ac:dyDescent="0.25">
      <c r="A229" s="1">
        <v>45833</v>
      </c>
      <c r="B229" t="s">
        <v>70</v>
      </c>
      <c r="C229" t="s">
        <v>37</v>
      </c>
      <c r="D229" t="s">
        <v>26</v>
      </c>
      <c r="E229">
        <v>5</v>
      </c>
      <c r="F229">
        <v>2888</v>
      </c>
      <c r="G229">
        <v>2888</v>
      </c>
      <c r="H229">
        <v>90</v>
      </c>
      <c r="I229">
        <v>259920</v>
      </c>
      <c r="J229">
        <v>38988</v>
      </c>
      <c r="K229">
        <v>298908</v>
      </c>
    </row>
    <row r="230" spans="1:11" x14ac:dyDescent="0.25">
      <c r="A230" s="1">
        <v>45833</v>
      </c>
      <c r="B230" t="s">
        <v>70</v>
      </c>
      <c r="C230" t="s">
        <v>96</v>
      </c>
      <c r="D230" t="s">
        <v>11</v>
      </c>
      <c r="E230">
        <v>5</v>
      </c>
      <c r="F230">
        <v>2493</v>
      </c>
      <c r="G230">
        <v>2493</v>
      </c>
      <c r="H230">
        <v>90</v>
      </c>
      <c r="I230">
        <v>224370</v>
      </c>
      <c r="J230">
        <v>33655.5</v>
      </c>
      <c r="K230">
        <v>258025.5</v>
      </c>
    </row>
    <row r="231" spans="1:11" x14ac:dyDescent="0.25">
      <c r="A231" s="1">
        <v>45834</v>
      </c>
      <c r="B231" t="s">
        <v>58</v>
      </c>
      <c r="C231" t="s">
        <v>137</v>
      </c>
      <c r="D231" t="s">
        <v>59</v>
      </c>
      <c r="E231">
        <v>4</v>
      </c>
      <c r="F231">
        <v>7062</v>
      </c>
      <c r="G231">
        <v>7062</v>
      </c>
      <c r="H231">
        <v>25</v>
      </c>
      <c r="I231">
        <v>176550</v>
      </c>
      <c r="J231">
        <v>26482.5</v>
      </c>
      <c r="K231">
        <v>203032.5</v>
      </c>
    </row>
    <row r="232" spans="1:11" x14ac:dyDescent="0.25">
      <c r="A232" s="1">
        <v>45834</v>
      </c>
      <c r="B232" t="s">
        <v>20</v>
      </c>
      <c r="C232" t="s">
        <v>100</v>
      </c>
      <c r="D232" t="s">
        <v>27</v>
      </c>
      <c r="E232">
        <v>1</v>
      </c>
      <c r="F232">
        <v>15</v>
      </c>
      <c r="G232">
        <v>15</v>
      </c>
      <c r="H232">
        <v>90</v>
      </c>
      <c r="I232">
        <v>1350</v>
      </c>
      <c r="J232">
        <v>202.5</v>
      </c>
      <c r="K232">
        <v>1552.5</v>
      </c>
    </row>
    <row r="233" spans="1:11" x14ac:dyDescent="0.25">
      <c r="A233" s="1">
        <v>45834</v>
      </c>
      <c r="B233" t="s">
        <v>34</v>
      </c>
      <c r="C233" t="s">
        <v>96</v>
      </c>
      <c r="D233" t="s">
        <v>19</v>
      </c>
      <c r="E233">
        <v>3</v>
      </c>
      <c r="F233">
        <v>1287</v>
      </c>
      <c r="G233">
        <v>1516</v>
      </c>
      <c r="H233">
        <v>12</v>
      </c>
      <c r="I233">
        <v>18192</v>
      </c>
      <c r="J233">
        <v>2728.8</v>
      </c>
      <c r="K233">
        <v>20920.8</v>
      </c>
    </row>
    <row r="234" spans="1:11" x14ac:dyDescent="0.25">
      <c r="A234" s="1">
        <v>45834</v>
      </c>
      <c r="B234" t="s">
        <v>34</v>
      </c>
      <c r="C234" t="s">
        <v>111</v>
      </c>
      <c r="D234" t="s">
        <v>17</v>
      </c>
      <c r="E234">
        <v>3</v>
      </c>
      <c r="F234">
        <v>946</v>
      </c>
      <c r="G234">
        <v>977</v>
      </c>
      <c r="H234">
        <v>12</v>
      </c>
      <c r="I234">
        <v>11724</v>
      </c>
      <c r="J234">
        <v>1758.6</v>
      </c>
      <c r="K234">
        <v>13482.6</v>
      </c>
    </row>
    <row r="235" spans="1:11" x14ac:dyDescent="0.25">
      <c r="A235" s="1">
        <v>45836</v>
      </c>
      <c r="B235" t="s">
        <v>42</v>
      </c>
      <c r="C235" t="s">
        <v>67</v>
      </c>
      <c r="D235" t="s">
        <v>32</v>
      </c>
      <c r="E235">
        <v>11</v>
      </c>
      <c r="F235">
        <v>1125</v>
      </c>
      <c r="G235">
        <v>1125</v>
      </c>
      <c r="H235">
        <v>70</v>
      </c>
      <c r="I235">
        <v>78750</v>
      </c>
      <c r="J235">
        <v>11812.5</v>
      </c>
      <c r="K235">
        <v>90562.5</v>
      </c>
    </row>
    <row r="236" spans="1:11" x14ac:dyDescent="0.25">
      <c r="A236" s="1">
        <v>45834</v>
      </c>
      <c r="B236" t="s">
        <v>34</v>
      </c>
      <c r="C236" t="s">
        <v>96</v>
      </c>
      <c r="D236" t="s">
        <v>17</v>
      </c>
      <c r="E236">
        <v>3</v>
      </c>
      <c r="F236">
        <v>456</v>
      </c>
      <c r="G236">
        <v>1139</v>
      </c>
      <c r="H236">
        <v>12</v>
      </c>
      <c r="I236">
        <v>13668</v>
      </c>
      <c r="J236">
        <v>2050.1999999999998</v>
      </c>
      <c r="K236">
        <v>15718.2</v>
      </c>
    </row>
    <row r="237" spans="1:11" x14ac:dyDescent="0.25">
      <c r="A237" s="1">
        <v>45836</v>
      </c>
      <c r="B237" t="s">
        <v>42</v>
      </c>
      <c r="C237" t="s">
        <v>37</v>
      </c>
      <c r="D237" t="s">
        <v>26</v>
      </c>
      <c r="E237">
        <v>5</v>
      </c>
      <c r="F237">
        <v>168</v>
      </c>
      <c r="G237">
        <v>168</v>
      </c>
      <c r="H237">
        <v>70</v>
      </c>
      <c r="I237">
        <v>11760</v>
      </c>
      <c r="J237">
        <v>1764</v>
      </c>
      <c r="K237">
        <v>13524</v>
      </c>
    </row>
    <row r="238" spans="1:11" x14ac:dyDescent="0.25">
      <c r="A238" s="1">
        <v>45834</v>
      </c>
      <c r="B238" t="s">
        <v>20</v>
      </c>
      <c r="C238" t="s">
        <v>96</v>
      </c>
      <c r="D238" t="s">
        <v>17</v>
      </c>
      <c r="E238">
        <v>1</v>
      </c>
      <c r="F238">
        <v>46</v>
      </c>
      <c r="G238">
        <v>46</v>
      </c>
      <c r="H238">
        <v>90</v>
      </c>
      <c r="I238">
        <v>4140</v>
      </c>
      <c r="J238">
        <v>621</v>
      </c>
      <c r="K238">
        <v>4761</v>
      </c>
    </row>
    <row r="239" spans="1:11" x14ac:dyDescent="0.25">
      <c r="A239" s="1">
        <v>45832</v>
      </c>
      <c r="B239" t="s">
        <v>82</v>
      </c>
      <c r="C239" t="s">
        <v>101</v>
      </c>
      <c r="D239" t="s">
        <v>19</v>
      </c>
      <c r="E239">
        <v>4</v>
      </c>
      <c r="F239">
        <v>0</v>
      </c>
      <c r="G239">
        <v>4</v>
      </c>
      <c r="H239">
        <v>2500</v>
      </c>
      <c r="I239">
        <v>10000</v>
      </c>
      <c r="J239">
        <v>1500</v>
      </c>
      <c r="K239">
        <v>11500</v>
      </c>
    </row>
    <row r="240" spans="1:11" x14ac:dyDescent="0.25">
      <c r="A240" s="1">
        <v>45834</v>
      </c>
      <c r="B240" t="s">
        <v>82</v>
      </c>
      <c r="C240" t="s">
        <v>83</v>
      </c>
      <c r="D240" t="s">
        <v>19</v>
      </c>
      <c r="E240">
        <v>2</v>
      </c>
      <c r="F240">
        <v>0</v>
      </c>
      <c r="G240">
        <v>2</v>
      </c>
      <c r="H240">
        <v>2500</v>
      </c>
      <c r="I240">
        <v>5000</v>
      </c>
      <c r="J240">
        <v>750</v>
      </c>
      <c r="K240">
        <v>5750</v>
      </c>
    </row>
    <row r="241" spans="1:11" x14ac:dyDescent="0.25">
      <c r="A241" s="1">
        <v>45834</v>
      </c>
      <c r="B241" t="s">
        <v>60</v>
      </c>
      <c r="C241" t="s">
        <v>138</v>
      </c>
      <c r="D241" t="s">
        <v>19</v>
      </c>
      <c r="E241">
        <v>8</v>
      </c>
      <c r="F241">
        <v>0.94</v>
      </c>
      <c r="G241">
        <v>0.94</v>
      </c>
      <c r="H241">
        <v>2400</v>
      </c>
      <c r="I241">
        <v>2256</v>
      </c>
      <c r="J241">
        <v>338.4</v>
      </c>
      <c r="K241">
        <v>2594.4</v>
      </c>
    </row>
    <row r="242" spans="1:11" x14ac:dyDescent="0.25">
      <c r="A242" s="1">
        <v>45835</v>
      </c>
      <c r="B242" t="s">
        <v>82</v>
      </c>
      <c r="C242" t="s">
        <v>83</v>
      </c>
      <c r="D242" t="s">
        <v>32</v>
      </c>
      <c r="E242">
        <v>2</v>
      </c>
      <c r="G242">
        <v>2</v>
      </c>
      <c r="H242">
        <v>2500</v>
      </c>
      <c r="I242">
        <v>5000</v>
      </c>
      <c r="J242">
        <v>750</v>
      </c>
      <c r="K242">
        <v>5750</v>
      </c>
    </row>
    <row r="243" spans="1:11" x14ac:dyDescent="0.25">
      <c r="A243" s="1">
        <v>45835</v>
      </c>
      <c r="B243" t="s">
        <v>60</v>
      </c>
      <c r="C243" t="s">
        <v>139</v>
      </c>
      <c r="D243" t="s">
        <v>19</v>
      </c>
      <c r="E243">
        <v>3</v>
      </c>
      <c r="F243">
        <v>23.32</v>
      </c>
      <c r="G243">
        <v>23.32</v>
      </c>
      <c r="H243">
        <v>2400</v>
      </c>
      <c r="I243">
        <v>55968</v>
      </c>
      <c r="J243">
        <v>8395.2000000000007</v>
      </c>
      <c r="K243">
        <v>64363.199999999997</v>
      </c>
    </row>
    <row r="244" spans="1:11" x14ac:dyDescent="0.25">
      <c r="A244" s="1">
        <v>45853</v>
      </c>
      <c r="B244" t="s">
        <v>42</v>
      </c>
      <c r="C244" t="s">
        <v>72</v>
      </c>
      <c r="D244" t="s">
        <v>26</v>
      </c>
      <c r="E244">
        <v>8</v>
      </c>
      <c r="F244">
        <v>50</v>
      </c>
      <c r="G244">
        <v>50</v>
      </c>
      <c r="H244">
        <v>70</v>
      </c>
      <c r="I244">
        <v>3500</v>
      </c>
      <c r="J244">
        <v>525</v>
      </c>
      <c r="K244">
        <v>4025</v>
      </c>
    </row>
    <row r="245" spans="1:11" x14ac:dyDescent="0.25">
      <c r="A245" s="1">
        <v>45836</v>
      </c>
      <c r="B245" t="s">
        <v>42</v>
      </c>
      <c r="C245" t="s">
        <v>29</v>
      </c>
      <c r="D245" t="s">
        <v>19</v>
      </c>
      <c r="E245">
        <v>2</v>
      </c>
      <c r="F245">
        <v>123</v>
      </c>
      <c r="G245">
        <v>123</v>
      </c>
      <c r="H245">
        <v>70</v>
      </c>
      <c r="I245">
        <v>8610</v>
      </c>
      <c r="J245">
        <v>1291.5</v>
      </c>
      <c r="K245">
        <v>9901.5</v>
      </c>
    </row>
    <row r="246" spans="1:11" x14ac:dyDescent="0.25">
      <c r="A246" s="1">
        <v>45835</v>
      </c>
      <c r="B246" t="s">
        <v>92</v>
      </c>
      <c r="C246" t="s">
        <v>35</v>
      </c>
      <c r="D246" t="s">
        <v>19</v>
      </c>
      <c r="E246">
        <v>5</v>
      </c>
      <c r="F246">
        <v>1</v>
      </c>
      <c r="G246">
        <v>5</v>
      </c>
      <c r="H246">
        <v>3000</v>
      </c>
      <c r="I246">
        <v>15000</v>
      </c>
      <c r="J246">
        <v>2250</v>
      </c>
      <c r="K246">
        <v>17250</v>
      </c>
    </row>
    <row r="247" spans="1:11" x14ac:dyDescent="0.25">
      <c r="A247" s="1">
        <v>45835</v>
      </c>
      <c r="B247" t="s">
        <v>12</v>
      </c>
      <c r="C247" t="s">
        <v>121</v>
      </c>
      <c r="D247" t="s">
        <v>19</v>
      </c>
      <c r="E247">
        <v>8</v>
      </c>
      <c r="F247">
        <v>1</v>
      </c>
      <c r="G247">
        <v>1.5</v>
      </c>
      <c r="H247">
        <v>20000</v>
      </c>
      <c r="I247">
        <v>30000</v>
      </c>
      <c r="J247">
        <v>4500</v>
      </c>
      <c r="K247">
        <v>34500</v>
      </c>
    </row>
    <row r="248" spans="1:11" x14ac:dyDescent="0.25">
      <c r="A248" s="1">
        <v>45835</v>
      </c>
      <c r="B248" t="s">
        <v>36</v>
      </c>
      <c r="C248" t="s">
        <v>107</v>
      </c>
      <c r="D248" t="s">
        <v>24</v>
      </c>
      <c r="E248">
        <v>5</v>
      </c>
      <c r="F248">
        <v>5</v>
      </c>
      <c r="G248">
        <v>10</v>
      </c>
      <c r="H248">
        <v>2400</v>
      </c>
      <c r="I248">
        <v>24000</v>
      </c>
      <c r="J248">
        <v>3600</v>
      </c>
      <c r="K248">
        <v>27600</v>
      </c>
    </row>
    <row r="249" spans="1:11" x14ac:dyDescent="0.25">
      <c r="A249" s="1">
        <v>45835</v>
      </c>
      <c r="B249" t="s">
        <v>80</v>
      </c>
      <c r="C249" t="s">
        <v>140</v>
      </c>
      <c r="D249" t="s">
        <v>26</v>
      </c>
      <c r="E249">
        <v>8</v>
      </c>
      <c r="F249">
        <v>737</v>
      </c>
      <c r="G249">
        <v>737</v>
      </c>
      <c r="H249">
        <v>70</v>
      </c>
      <c r="I249">
        <v>51590</v>
      </c>
      <c r="J249">
        <v>7738.5</v>
      </c>
      <c r="K249">
        <v>59328.5</v>
      </c>
    </row>
    <row r="250" spans="1:11" x14ac:dyDescent="0.25">
      <c r="A250" s="1">
        <v>45835</v>
      </c>
      <c r="B250" t="s">
        <v>60</v>
      </c>
      <c r="C250" t="s">
        <v>95</v>
      </c>
      <c r="D250" t="s">
        <v>26</v>
      </c>
      <c r="E250">
        <v>7</v>
      </c>
      <c r="F250">
        <v>68.5</v>
      </c>
      <c r="G250">
        <v>26.3</v>
      </c>
      <c r="H250">
        <v>2400</v>
      </c>
      <c r="I250">
        <v>63120</v>
      </c>
      <c r="J250">
        <v>9468</v>
      </c>
      <c r="K250">
        <v>72588</v>
      </c>
    </row>
    <row r="251" spans="1:11" x14ac:dyDescent="0.25">
      <c r="A251" s="1">
        <v>45835</v>
      </c>
      <c r="B251" t="s">
        <v>44</v>
      </c>
      <c r="C251" t="s">
        <v>141</v>
      </c>
      <c r="D251" t="s">
        <v>63</v>
      </c>
      <c r="E251">
        <v>4</v>
      </c>
      <c r="F251">
        <v>1270</v>
      </c>
      <c r="G251">
        <v>1270</v>
      </c>
      <c r="H251">
        <v>70</v>
      </c>
      <c r="I251">
        <v>88900</v>
      </c>
      <c r="J251">
        <v>13335</v>
      </c>
      <c r="K251">
        <v>102235</v>
      </c>
    </row>
    <row r="252" spans="1:11" x14ac:dyDescent="0.25">
      <c r="A252" s="1">
        <v>45835</v>
      </c>
      <c r="B252" t="s">
        <v>44</v>
      </c>
      <c r="C252" t="s">
        <v>142</v>
      </c>
      <c r="D252" t="s">
        <v>108</v>
      </c>
      <c r="E252">
        <v>9</v>
      </c>
      <c r="F252">
        <v>270</v>
      </c>
      <c r="G252">
        <v>270</v>
      </c>
      <c r="H252">
        <v>70</v>
      </c>
      <c r="I252">
        <v>18900</v>
      </c>
      <c r="J252">
        <v>2835</v>
      </c>
      <c r="K252">
        <v>21735</v>
      </c>
    </row>
    <row r="253" spans="1:11" x14ac:dyDescent="0.25">
      <c r="A253" s="1">
        <v>45835</v>
      </c>
      <c r="B253" t="s">
        <v>36</v>
      </c>
      <c r="C253" t="s">
        <v>67</v>
      </c>
      <c r="D253" t="s">
        <v>19</v>
      </c>
      <c r="E253">
        <v>6</v>
      </c>
      <c r="F253">
        <v>9</v>
      </c>
      <c r="G253">
        <v>20</v>
      </c>
      <c r="H253">
        <v>2400</v>
      </c>
      <c r="I253">
        <v>48000</v>
      </c>
      <c r="J253">
        <v>7200</v>
      </c>
      <c r="K253">
        <v>55200</v>
      </c>
    </row>
    <row r="254" spans="1:11" x14ac:dyDescent="0.25">
      <c r="A254" s="1">
        <v>45835</v>
      </c>
      <c r="B254" t="s">
        <v>20</v>
      </c>
      <c r="C254" t="s">
        <v>96</v>
      </c>
      <c r="D254" t="s">
        <v>63</v>
      </c>
      <c r="E254">
        <v>2</v>
      </c>
      <c r="F254">
        <v>2405</v>
      </c>
      <c r="G254">
        <v>2405</v>
      </c>
      <c r="H254">
        <v>90</v>
      </c>
      <c r="I254">
        <v>216450</v>
      </c>
      <c r="J254">
        <v>32467.5</v>
      </c>
      <c r="K254">
        <v>248917.5</v>
      </c>
    </row>
    <row r="255" spans="1:11" x14ac:dyDescent="0.25">
      <c r="A255" s="1">
        <v>45835</v>
      </c>
      <c r="B255" t="s">
        <v>20</v>
      </c>
      <c r="C255" t="s">
        <v>46</v>
      </c>
      <c r="D255" t="s">
        <v>26</v>
      </c>
      <c r="E255">
        <v>1</v>
      </c>
      <c r="F255">
        <v>85</v>
      </c>
      <c r="G255">
        <v>85</v>
      </c>
      <c r="H255">
        <v>90</v>
      </c>
      <c r="I255">
        <v>7650</v>
      </c>
      <c r="J255">
        <v>1147.5</v>
      </c>
      <c r="K255">
        <v>8797.5</v>
      </c>
    </row>
    <row r="256" spans="1:11" x14ac:dyDescent="0.25">
      <c r="A256" s="1">
        <v>45836</v>
      </c>
      <c r="B256" t="s">
        <v>42</v>
      </c>
      <c r="C256" t="s">
        <v>37</v>
      </c>
      <c r="D256" t="s">
        <v>32</v>
      </c>
      <c r="E256">
        <v>2</v>
      </c>
      <c r="F256">
        <v>646</v>
      </c>
      <c r="G256">
        <v>646</v>
      </c>
      <c r="H256">
        <v>70</v>
      </c>
      <c r="I256">
        <v>45220</v>
      </c>
      <c r="J256">
        <v>6783</v>
      </c>
      <c r="K256">
        <v>52003</v>
      </c>
    </row>
    <row r="257" spans="1:11" x14ac:dyDescent="0.25">
      <c r="A257" s="1">
        <v>45835</v>
      </c>
      <c r="B257" t="s">
        <v>20</v>
      </c>
      <c r="C257" t="s">
        <v>50</v>
      </c>
      <c r="D257" t="s">
        <v>27</v>
      </c>
      <c r="E257">
        <v>3</v>
      </c>
      <c r="F257">
        <v>60</v>
      </c>
      <c r="G257">
        <v>60</v>
      </c>
      <c r="H257">
        <v>90</v>
      </c>
      <c r="I257">
        <v>5400</v>
      </c>
      <c r="J257">
        <v>810</v>
      </c>
      <c r="K257">
        <v>6210</v>
      </c>
    </row>
    <row r="258" spans="1:11" x14ac:dyDescent="0.25">
      <c r="A258" s="1">
        <v>45839</v>
      </c>
      <c r="B258" t="s">
        <v>42</v>
      </c>
      <c r="C258" t="s">
        <v>40</v>
      </c>
      <c r="D258" t="s">
        <v>26</v>
      </c>
      <c r="E258">
        <v>7</v>
      </c>
      <c r="F258">
        <v>1307</v>
      </c>
      <c r="G258">
        <v>1307</v>
      </c>
      <c r="H258">
        <v>70</v>
      </c>
      <c r="I258">
        <v>91490</v>
      </c>
      <c r="J258">
        <v>13723.5</v>
      </c>
      <c r="K258">
        <v>105213.5</v>
      </c>
    </row>
    <row r="259" spans="1:11" x14ac:dyDescent="0.25">
      <c r="A259" s="1">
        <v>45835</v>
      </c>
      <c r="B259" t="s">
        <v>20</v>
      </c>
      <c r="C259" t="s">
        <v>67</v>
      </c>
      <c r="D259" t="s">
        <v>32</v>
      </c>
      <c r="E259">
        <v>45</v>
      </c>
      <c r="F259">
        <v>97</v>
      </c>
      <c r="G259">
        <v>97</v>
      </c>
      <c r="H259">
        <v>90</v>
      </c>
      <c r="I259">
        <v>8730</v>
      </c>
      <c r="J259">
        <v>1309.5</v>
      </c>
      <c r="K259">
        <v>10039.5</v>
      </c>
    </row>
    <row r="260" spans="1:11" x14ac:dyDescent="0.25">
      <c r="A260" s="1">
        <v>45835</v>
      </c>
      <c r="B260" t="s">
        <v>20</v>
      </c>
      <c r="C260" t="s">
        <v>67</v>
      </c>
      <c r="D260" t="s">
        <v>24</v>
      </c>
      <c r="E260">
        <v>13</v>
      </c>
      <c r="F260">
        <v>1249</v>
      </c>
      <c r="G260">
        <v>1249</v>
      </c>
      <c r="H260">
        <v>90</v>
      </c>
      <c r="I260">
        <v>112410</v>
      </c>
      <c r="J260">
        <v>16861.5</v>
      </c>
      <c r="K260">
        <v>129271.5</v>
      </c>
    </row>
    <row r="261" spans="1:11" x14ac:dyDescent="0.25">
      <c r="A261" s="1">
        <v>45835</v>
      </c>
      <c r="B261" t="s">
        <v>36</v>
      </c>
      <c r="C261" t="s">
        <v>81</v>
      </c>
      <c r="D261" t="s">
        <v>32</v>
      </c>
      <c r="E261">
        <v>2</v>
      </c>
      <c r="F261">
        <v>4</v>
      </c>
      <c r="G261">
        <v>20</v>
      </c>
      <c r="H261">
        <v>2400</v>
      </c>
      <c r="I261">
        <v>48000</v>
      </c>
      <c r="J261">
        <v>7200</v>
      </c>
      <c r="K261">
        <v>55200</v>
      </c>
    </row>
    <row r="262" spans="1:11" x14ac:dyDescent="0.25">
      <c r="A262" s="1">
        <v>45835</v>
      </c>
      <c r="B262" t="s">
        <v>58</v>
      </c>
      <c r="C262" t="s">
        <v>46</v>
      </c>
      <c r="D262" t="s">
        <v>59</v>
      </c>
      <c r="E262">
        <v>4</v>
      </c>
      <c r="F262">
        <v>5648</v>
      </c>
      <c r="G262">
        <v>5648</v>
      </c>
      <c r="H262">
        <v>20</v>
      </c>
      <c r="I262">
        <v>112960</v>
      </c>
      <c r="J262">
        <v>16944</v>
      </c>
      <c r="K262">
        <v>129904</v>
      </c>
    </row>
    <row r="263" spans="1:11" x14ac:dyDescent="0.25">
      <c r="A263" s="1">
        <v>45835</v>
      </c>
      <c r="B263" t="s">
        <v>20</v>
      </c>
      <c r="C263" t="s">
        <v>43</v>
      </c>
      <c r="D263" t="s">
        <v>17</v>
      </c>
      <c r="E263">
        <v>6</v>
      </c>
      <c r="F263">
        <v>11</v>
      </c>
      <c r="G263">
        <v>11</v>
      </c>
      <c r="H263">
        <v>90</v>
      </c>
      <c r="I263">
        <v>990</v>
      </c>
      <c r="J263">
        <v>148.5</v>
      </c>
      <c r="K263">
        <v>1138.5</v>
      </c>
    </row>
    <row r="264" spans="1:11" x14ac:dyDescent="0.25">
      <c r="A264" s="1">
        <v>45835</v>
      </c>
      <c r="B264" t="s">
        <v>70</v>
      </c>
      <c r="C264" t="s">
        <v>81</v>
      </c>
      <c r="D264" t="s">
        <v>26</v>
      </c>
      <c r="E264">
        <v>10</v>
      </c>
      <c r="F264">
        <v>2807</v>
      </c>
      <c r="G264">
        <v>2807</v>
      </c>
      <c r="H264">
        <v>90</v>
      </c>
      <c r="I264">
        <v>252630</v>
      </c>
      <c r="J264">
        <v>37894.5</v>
      </c>
      <c r="K264">
        <v>290524.5</v>
      </c>
    </row>
    <row r="265" spans="1:11" x14ac:dyDescent="0.25">
      <c r="A265" s="1">
        <v>45835</v>
      </c>
      <c r="B265" t="s">
        <v>20</v>
      </c>
      <c r="C265" t="s">
        <v>43</v>
      </c>
      <c r="D265" t="s">
        <v>24</v>
      </c>
      <c r="E265">
        <v>5</v>
      </c>
      <c r="F265">
        <v>283</v>
      </c>
      <c r="G265">
        <v>283</v>
      </c>
      <c r="H265">
        <v>90</v>
      </c>
      <c r="I265">
        <v>25470</v>
      </c>
      <c r="J265">
        <v>3820.5</v>
      </c>
      <c r="K265">
        <v>29290.5</v>
      </c>
    </row>
    <row r="266" spans="1:11" x14ac:dyDescent="0.25">
      <c r="A266" s="1">
        <v>45854</v>
      </c>
      <c r="B266" t="s">
        <v>44</v>
      </c>
      <c r="C266" t="s">
        <v>47</v>
      </c>
      <c r="D266" t="s">
        <v>32</v>
      </c>
      <c r="E266">
        <v>4</v>
      </c>
      <c r="F266">
        <v>5</v>
      </c>
      <c r="G266">
        <v>542</v>
      </c>
      <c r="H266">
        <v>70</v>
      </c>
      <c r="I266">
        <v>37940</v>
      </c>
      <c r="J266">
        <v>5691</v>
      </c>
      <c r="K266">
        <v>43631</v>
      </c>
    </row>
    <row r="267" spans="1:11" x14ac:dyDescent="0.25">
      <c r="A267" s="1">
        <v>45833</v>
      </c>
      <c r="B267" t="s">
        <v>44</v>
      </c>
      <c r="C267" t="s">
        <v>28</v>
      </c>
      <c r="D267" t="s">
        <v>57</v>
      </c>
      <c r="E267">
        <v>3</v>
      </c>
      <c r="F267">
        <v>898</v>
      </c>
      <c r="G267">
        <v>898</v>
      </c>
      <c r="H267">
        <v>70</v>
      </c>
      <c r="I267">
        <v>62860</v>
      </c>
      <c r="J267">
        <v>9429</v>
      </c>
      <c r="K267">
        <v>72289</v>
      </c>
    </row>
    <row r="268" spans="1:11" x14ac:dyDescent="0.25">
      <c r="A268" s="1">
        <v>45833</v>
      </c>
      <c r="B268" t="s">
        <v>44</v>
      </c>
      <c r="C268" t="s">
        <v>47</v>
      </c>
      <c r="D268" t="s">
        <v>57</v>
      </c>
      <c r="E268">
        <v>3</v>
      </c>
      <c r="F268">
        <v>90</v>
      </c>
      <c r="G268">
        <v>90</v>
      </c>
      <c r="H268">
        <v>70</v>
      </c>
      <c r="I268">
        <v>6300</v>
      </c>
      <c r="J268">
        <v>945</v>
      </c>
      <c r="K268">
        <v>7245</v>
      </c>
    </row>
    <row r="269" spans="1:11" x14ac:dyDescent="0.25">
      <c r="A269" s="1">
        <v>45833</v>
      </c>
      <c r="B269" t="s">
        <v>44</v>
      </c>
      <c r="C269" t="s">
        <v>48</v>
      </c>
      <c r="D269" t="s">
        <v>57</v>
      </c>
      <c r="E269">
        <v>3</v>
      </c>
      <c r="F269">
        <v>102</v>
      </c>
      <c r="G269">
        <v>102</v>
      </c>
      <c r="H269">
        <v>70</v>
      </c>
      <c r="I269">
        <v>7140</v>
      </c>
      <c r="J269">
        <v>1071</v>
      </c>
      <c r="K269">
        <v>8211</v>
      </c>
    </row>
    <row r="270" spans="1:11" x14ac:dyDescent="0.25">
      <c r="A270" s="1">
        <v>45833</v>
      </c>
      <c r="B270" t="s">
        <v>44</v>
      </c>
      <c r="C270" t="s">
        <v>49</v>
      </c>
      <c r="D270" t="s">
        <v>57</v>
      </c>
      <c r="E270">
        <v>3</v>
      </c>
      <c r="F270">
        <v>180</v>
      </c>
      <c r="G270">
        <v>180</v>
      </c>
      <c r="H270">
        <v>70</v>
      </c>
      <c r="I270">
        <v>12600</v>
      </c>
      <c r="J270">
        <v>1890</v>
      </c>
      <c r="K270">
        <v>14490</v>
      </c>
    </row>
    <row r="271" spans="1:11" x14ac:dyDescent="0.25">
      <c r="A271" s="1">
        <v>45833</v>
      </c>
      <c r="B271" t="s">
        <v>44</v>
      </c>
      <c r="C271" t="s">
        <v>51</v>
      </c>
      <c r="D271" t="s">
        <v>57</v>
      </c>
      <c r="E271">
        <v>3</v>
      </c>
      <c r="F271">
        <v>420</v>
      </c>
      <c r="G271">
        <v>420</v>
      </c>
      <c r="H271">
        <v>70</v>
      </c>
      <c r="I271">
        <v>29400</v>
      </c>
      <c r="J271">
        <v>4410</v>
      </c>
      <c r="K271">
        <v>33810</v>
      </c>
    </row>
    <row r="272" spans="1:11" x14ac:dyDescent="0.25">
      <c r="A272" s="1">
        <v>45833</v>
      </c>
      <c r="B272" t="s">
        <v>44</v>
      </c>
      <c r="C272" t="s">
        <v>52</v>
      </c>
      <c r="D272" t="s">
        <v>57</v>
      </c>
      <c r="E272">
        <v>3</v>
      </c>
      <c r="F272">
        <v>90</v>
      </c>
      <c r="G272">
        <v>90</v>
      </c>
      <c r="H272">
        <v>70</v>
      </c>
      <c r="I272">
        <v>6300</v>
      </c>
      <c r="J272">
        <v>945</v>
      </c>
      <c r="K272">
        <v>7245</v>
      </c>
    </row>
    <row r="273" spans="1:11" x14ac:dyDescent="0.25">
      <c r="A273" s="1">
        <v>45833</v>
      </c>
      <c r="B273" t="s">
        <v>44</v>
      </c>
      <c r="C273" t="s">
        <v>143</v>
      </c>
      <c r="D273" t="s">
        <v>57</v>
      </c>
      <c r="E273">
        <v>3</v>
      </c>
      <c r="F273">
        <v>239</v>
      </c>
      <c r="G273">
        <v>239</v>
      </c>
      <c r="H273">
        <v>70</v>
      </c>
      <c r="I273">
        <v>16730</v>
      </c>
      <c r="J273">
        <v>2509.5</v>
      </c>
      <c r="K273">
        <v>19239.5</v>
      </c>
    </row>
    <row r="274" spans="1:11" x14ac:dyDescent="0.25">
      <c r="A274" s="1">
        <v>45833</v>
      </c>
      <c r="B274" t="s">
        <v>44</v>
      </c>
      <c r="C274" t="s">
        <v>102</v>
      </c>
      <c r="D274" t="s">
        <v>57</v>
      </c>
      <c r="E274">
        <v>3</v>
      </c>
      <c r="F274">
        <v>239</v>
      </c>
      <c r="G274">
        <v>66</v>
      </c>
      <c r="H274">
        <v>70</v>
      </c>
      <c r="I274">
        <v>4620</v>
      </c>
      <c r="J274">
        <v>693</v>
      </c>
      <c r="K274">
        <v>5313</v>
      </c>
    </row>
    <row r="275" spans="1:11" x14ac:dyDescent="0.25">
      <c r="A275" s="1">
        <v>45833</v>
      </c>
      <c r="B275" t="s">
        <v>44</v>
      </c>
      <c r="C275" t="s">
        <v>100</v>
      </c>
      <c r="D275" t="s">
        <v>57</v>
      </c>
      <c r="E275">
        <v>3</v>
      </c>
      <c r="F275">
        <v>239</v>
      </c>
      <c r="G275">
        <v>240</v>
      </c>
      <c r="H275">
        <v>70</v>
      </c>
      <c r="I275">
        <v>16800</v>
      </c>
      <c r="J275">
        <v>2520</v>
      </c>
      <c r="K275">
        <v>19320</v>
      </c>
    </row>
    <row r="276" spans="1:11" x14ac:dyDescent="0.25">
      <c r="A276" s="1">
        <v>45833</v>
      </c>
      <c r="B276" t="s">
        <v>44</v>
      </c>
      <c r="C276" t="s">
        <v>45</v>
      </c>
      <c r="D276" t="s">
        <v>57</v>
      </c>
      <c r="E276">
        <v>3</v>
      </c>
      <c r="F276">
        <v>239</v>
      </c>
      <c r="G276">
        <v>160</v>
      </c>
      <c r="H276">
        <v>70</v>
      </c>
      <c r="I276">
        <v>11200</v>
      </c>
      <c r="J276">
        <v>1680</v>
      </c>
      <c r="K276">
        <v>12880</v>
      </c>
    </row>
    <row r="277" spans="1:11" x14ac:dyDescent="0.25">
      <c r="A277" s="1">
        <v>45833</v>
      </c>
      <c r="B277" t="s">
        <v>44</v>
      </c>
      <c r="C277" t="s">
        <v>56</v>
      </c>
      <c r="D277" t="s">
        <v>57</v>
      </c>
      <c r="E277">
        <v>3</v>
      </c>
      <c r="F277">
        <v>239</v>
      </c>
      <c r="G277">
        <v>445</v>
      </c>
      <c r="H277">
        <v>70</v>
      </c>
      <c r="I277">
        <v>31150</v>
      </c>
      <c r="J277">
        <v>4672.5</v>
      </c>
      <c r="K277">
        <v>35822.5</v>
      </c>
    </row>
    <row r="278" spans="1:11" x14ac:dyDescent="0.25">
      <c r="A278" s="1">
        <v>45833</v>
      </c>
      <c r="B278" t="s">
        <v>44</v>
      </c>
      <c r="C278" t="s">
        <v>21</v>
      </c>
      <c r="D278" t="s">
        <v>57</v>
      </c>
      <c r="E278">
        <v>3</v>
      </c>
      <c r="F278">
        <v>239</v>
      </c>
      <c r="G278">
        <v>30</v>
      </c>
      <c r="H278">
        <v>70</v>
      </c>
      <c r="I278">
        <v>2100</v>
      </c>
      <c r="J278">
        <v>315</v>
      </c>
      <c r="K278">
        <v>2415</v>
      </c>
    </row>
    <row r="279" spans="1:11" x14ac:dyDescent="0.25">
      <c r="A279" s="1">
        <v>45835</v>
      </c>
      <c r="B279" t="s">
        <v>44</v>
      </c>
      <c r="C279" t="s">
        <v>87</v>
      </c>
      <c r="D279" t="s">
        <v>57</v>
      </c>
      <c r="E279">
        <v>1</v>
      </c>
      <c r="F279">
        <v>300</v>
      </c>
      <c r="G279">
        <v>300</v>
      </c>
      <c r="H279">
        <v>70</v>
      </c>
      <c r="I279">
        <v>21000</v>
      </c>
      <c r="J279">
        <v>3150</v>
      </c>
      <c r="K279">
        <v>24150</v>
      </c>
    </row>
    <row r="280" spans="1:11" x14ac:dyDescent="0.25">
      <c r="A280" s="1">
        <v>45835</v>
      </c>
      <c r="B280" t="s">
        <v>44</v>
      </c>
      <c r="C280" t="s">
        <v>54</v>
      </c>
      <c r="D280" t="s">
        <v>88</v>
      </c>
      <c r="E280">
        <v>5</v>
      </c>
      <c r="F280">
        <v>575</v>
      </c>
      <c r="G280">
        <v>575</v>
      </c>
      <c r="H280">
        <v>70</v>
      </c>
      <c r="I280">
        <v>40250</v>
      </c>
      <c r="J280">
        <v>6037.5</v>
      </c>
      <c r="K280">
        <v>46287.5</v>
      </c>
    </row>
    <row r="281" spans="1:11" x14ac:dyDescent="0.25">
      <c r="A281" s="1">
        <v>45835</v>
      </c>
      <c r="B281" t="s">
        <v>70</v>
      </c>
      <c r="C281" t="s">
        <v>84</v>
      </c>
      <c r="D281" t="s">
        <v>11</v>
      </c>
      <c r="E281">
        <v>4</v>
      </c>
      <c r="F281">
        <v>2603</v>
      </c>
      <c r="G281">
        <v>2603</v>
      </c>
      <c r="H281">
        <v>90</v>
      </c>
      <c r="I281">
        <v>234270</v>
      </c>
      <c r="J281">
        <v>35140.5</v>
      </c>
      <c r="K281">
        <v>269410.5</v>
      </c>
    </row>
    <row r="282" spans="1:11" x14ac:dyDescent="0.25">
      <c r="A282" s="1">
        <v>45836</v>
      </c>
      <c r="B282" t="s">
        <v>36</v>
      </c>
      <c r="C282" t="s">
        <v>71</v>
      </c>
      <c r="D282" t="s">
        <v>24</v>
      </c>
      <c r="E282">
        <v>5</v>
      </c>
      <c r="F282">
        <v>5</v>
      </c>
      <c r="G282">
        <v>10</v>
      </c>
      <c r="H282">
        <v>2400</v>
      </c>
      <c r="I282">
        <v>24000</v>
      </c>
      <c r="J282">
        <v>3600</v>
      </c>
      <c r="K282">
        <v>27600</v>
      </c>
    </row>
    <row r="283" spans="1:11" x14ac:dyDescent="0.25">
      <c r="A283" s="1">
        <v>45836</v>
      </c>
      <c r="B283" t="s">
        <v>70</v>
      </c>
      <c r="C283" t="s">
        <v>106</v>
      </c>
      <c r="D283" t="s">
        <v>11</v>
      </c>
      <c r="E283">
        <v>9</v>
      </c>
      <c r="F283">
        <v>2752</v>
      </c>
      <c r="G283">
        <v>2752</v>
      </c>
      <c r="H283">
        <v>90</v>
      </c>
      <c r="I283">
        <v>247680</v>
      </c>
      <c r="J283">
        <v>37152</v>
      </c>
      <c r="K283">
        <v>284832</v>
      </c>
    </row>
    <row r="284" spans="1:11" x14ac:dyDescent="0.25">
      <c r="A284" s="1">
        <v>45838</v>
      </c>
      <c r="B284" t="s">
        <v>20</v>
      </c>
      <c r="C284" t="s">
        <v>37</v>
      </c>
      <c r="D284" t="s">
        <v>19</v>
      </c>
      <c r="E284">
        <v>3</v>
      </c>
      <c r="F284">
        <v>255</v>
      </c>
      <c r="G284">
        <v>500</v>
      </c>
      <c r="H284">
        <v>90</v>
      </c>
      <c r="I284">
        <v>45000</v>
      </c>
      <c r="J284">
        <v>6750</v>
      </c>
      <c r="K284">
        <v>51750</v>
      </c>
    </row>
    <row r="285" spans="1:11" x14ac:dyDescent="0.25">
      <c r="A285" s="1">
        <v>45836</v>
      </c>
      <c r="B285" t="s">
        <v>92</v>
      </c>
      <c r="C285" t="s">
        <v>21</v>
      </c>
      <c r="D285" t="s">
        <v>108</v>
      </c>
      <c r="E285">
        <v>1</v>
      </c>
      <c r="F285">
        <v>1</v>
      </c>
      <c r="G285">
        <v>2</v>
      </c>
      <c r="H285">
        <v>2700</v>
      </c>
      <c r="I285">
        <v>5400</v>
      </c>
      <c r="J285">
        <v>810</v>
      </c>
      <c r="K285">
        <v>6210</v>
      </c>
    </row>
    <row r="286" spans="1:11" x14ac:dyDescent="0.25">
      <c r="A286" s="1">
        <v>45836</v>
      </c>
      <c r="B286" t="s">
        <v>20</v>
      </c>
      <c r="C286" t="s">
        <v>86</v>
      </c>
      <c r="D286" t="s">
        <v>59</v>
      </c>
      <c r="E286">
        <v>1</v>
      </c>
      <c r="F286">
        <v>63</v>
      </c>
      <c r="G286">
        <v>63</v>
      </c>
      <c r="H286">
        <v>90</v>
      </c>
      <c r="I286">
        <v>5670</v>
      </c>
      <c r="J286">
        <v>850.5</v>
      </c>
      <c r="K286">
        <v>6520.5</v>
      </c>
    </row>
    <row r="287" spans="1:11" x14ac:dyDescent="0.25">
      <c r="A287" s="1">
        <v>45836</v>
      </c>
      <c r="B287" t="s">
        <v>80</v>
      </c>
      <c r="C287" t="s">
        <v>41</v>
      </c>
      <c r="D287" t="s">
        <v>24</v>
      </c>
      <c r="E287">
        <v>1</v>
      </c>
      <c r="F287">
        <v>2000</v>
      </c>
      <c r="G287">
        <v>2000</v>
      </c>
      <c r="H287">
        <v>70</v>
      </c>
      <c r="I287">
        <v>140000</v>
      </c>
      <c r="J287">
        <v>21000</v>
      </c>
      <c r="K287">
        <v>161000</v>
      </c>
    </row>
    <row r="288" spans="1:11" x14ac:dyDescent="0.25">
      <c r="A288" s="1">
        <v>45836</v>
      </c>
      <c r="B288" t="s">
        <v>144</v>
      </c>
      <c r="C288" t="s">
        <v>145</v>
      </c>
      <c r="D288" t="s">
        <v>24</v>
      </c>
      <c r="E288">
        <v>1</v>
      </c>
      <c r="F288">
        <v>2246</v>
      </c>
      <c r="G288">
        <v>2246</v>
      </c>
      <c r="H288">
        <v>100</v>
      </c>
      <c r="I288">
        <v>224600</v>
      </c>
      <c r="J288">
        <v>33690</v>
      </c>
      <c r="K288">
        <v>258290</v>
      </c>
    </row>
    <row r="289" spans="1:11" x14ac:dyDescent="0.25">
      <c r="A289" s="1">
        <v>45836</v>
      </c>
      <c r="B289" t="s">
        <v>20</v>
      </c>
      <c r="C289" t="s">
        <v>86</v>
      </c>
      <c r="D289" t="s">
        <v>17</v>
      </c>
      <c r="E289">
        <v>5</v>
      </c>
      <c r="F289">
        <v>600</v>
      </c>
      <c r="G289">
        <v>600</v>
      </c>
      <c r="H289">
        <v>90</v>
      </c>
      <c r="I289">
        <v>54000</v>
      </c>
      <c r="J289">
        <v>8100</v>
      </c>
      <c r="K289">
        <v>62100</v>
      </c>
    </row>
    <row r="290" spans="1:11" x14ac:dyDescent="0.25">
      <c r="A290" s="1">
        <v>45836</v>
      </c>
      <c r="B290" t="s">
        <v>20</v>
      </c>
      <c r="C290" t="s">
        <v>67</v>
      </c>
      <c r="D290" t="s">
        <v>22</v>
      </c>
      <c r="E290">
        <v>42</v>
      </c>
      <c r="F290">
        <v>142</v>
      </c>
      <c r="G290">
        <v>400</v>
      </c>
      <c r="H290">
        <v>90</v>
      </c>
      <c r="I290">
        <v>36000</v>
      </c>
      <c r="J290">
        <v>5400</v>
      </c>
      <c r="K290">
        <v>41400</v>
      </c>
    </row>
    <row r="291" spans="1:11" x14ac:dyDescent="0.25">
      <c r="A291" s="1">
        <v>45836</v>
      </c>
      <c r="B291" t="s">
        <v>20</v>
      </c>
      <c r="C291" t="s">
        <v>67</v>
      </c>
      <c r="D291" t="s">
        <v>26</v>
      </c>
      <c r="E291">
        <v>18</v>
      </c>
      <c r="F291">
        <v>365</v>
      </c>
      <c r="G291">
        <v>365</v>
      </c>
      <c r="H291">
        <v>90</v>
      </c>
      <c r="I291">
        <v>32850</v>
      </c>
      <c r="J291">
        <v>4927.5</v>
      </c>
      <c r="K291">
        <v>37777.5</v>
      </c>
    </row>
    <row r="292" spans="1:11" x14ac:dyDescent="0.25">
      <c r="A292" s="1">
        <v>45836</v>
      </c>
      <c r="B292" t="s">
        <v>20</v>
      </c>
      <c r="C292" t="s">
        <v>67</v>
      </c>
      <c r="D292" t="s">
        <v>27</v>
      </c>
      <c r="E292">
        <v>7</v>
      </c>
      <c r="F292">
        <v>62</v>
      </c>
      <c r="G292">
        <v>62</v>
      </c>
      <c r="H292">
        <v>90</v>
      </c>
      <c r="I292">
        <v>5580</v>
      </c>
      <c r="J292">
        <v>837</v>
      </c>
      <c r="K292">
        <v>6417</v>
      </c>
    </row>
    <row r="293" spans="1:11" x14ac:dyDescent="0.25">
      <c r="A293" s="1">
        <v>45836</v>
      </c>
      <c r="B293" t="s">
        <v>20</v>
      </c>
      <c r="C293" t="s">
        <v>29</v>
      </c>
      <c r="D293" t="s">
        <v>32</v>
      </c>
      <c r="E293">
        <v>3</v>
      </c>
      <c r="F293">
        <v>153</v>
      </c>
      <c r="G293">
        <v>153</v>
      </c>
      <c r="H293">
        <v>90</v>
      </c>
      <c r="I293">
        <v>13770</v>
      </c>
      <c r="J293">
        <v>2065.5</v>
      </c>
      <c r="K293">
        <v>15835.5</v>
      </c>
    </row>
    <row r="294" spans="1:11" x14ac:dyDescent="0.25">
      <c r="A294" s="1">
        <v>45836</v>
      </c>
      <c r="B294" t="s">
        <v>20</v>
      </c>
      <c r="C294" t="s">
        <v>29</v>
      </c>
      <c r="D294" t="s">
        <v>24</v>
      </c>
      <c r="E294">
        <v>42</v>
      </c>
      <c r="F294">
        <v>1247</v>
      </c>
      <c r="G294">
        <v>1247</v>
      </c>
      <c r="H294">
        <v>90</v>
      </c>
      <c r="I294">
        <v>112230</v>
      </c>
      <c r="J294">
        <v>16834.5</v>
      </c>
      <c r="K294">
        <v>129064.5</v>
      </c>
    </row>
    <row r="295" spans="1:11" x14ac:dyDescent="0.25">
      <c r="A295" s="1">
        <v>45836</v>
      </c>
      <c r="B295" t="s">
        <v>44</v>
      </c>
      <c r="C295" t="s">
        <v>54</v>
      </c>
      <c r="D295" t="s">
        <v>57</v>
      </c>
      <c r="E295">
        <v>2</v>
      </c>
      <c r="F295">
        <v>300</v>
      </c>
      <c r="G295">
        <v>300</v>
      </c>
      <c r="H295">
        <v>70</v>
      </c>
      <c r="I295">
        <v>21000</v>
      </c>
      <c r="J295">
        <v>3150</v>
      </c>
      <c r="K295">
        <v>24150</v>
      </c>
    </row>
    <row r="296" spans="1:11" x14ac:dyDescent="0.25">
      <c r="A296" s="1">
        <v>45836</v>
      </c>
      <c r="B296" t="s">
        <v>44</v>
      </c>
      <c r="C296" t="s">
        <v>87</v>
      </c>
      <c r="D296" t="s">
        <v>108</v>
      </c>
      <c r="E296">
        <v>10</v>
      </c>
      <c r="F296">
        <v>90</v>
      </c>
      <c r="G296">
        <v>90</v>
      </c>
      <c r="H296">
        <v>70</v>
      </c>
      <c r="I296">
        <v>6300</v>
      </c>
      <c r="J296">
        <v>945</v>
      </c>
      <c r="K296">
        <v>7245</v>
      </c>
    </row>
    <row r="297" spans="1:11" x14ac:dyDescent="0.25">
      <c r="A297" s="1">
        <v>45836</v>
      </c>
      <c r="B297" t="s">
        <v>44</v>
      </c>
      <c r="C297" t="s">
        <v>146</v>
      </c>
      <c r="D297" t="s">
        <v>63</v>
      </c>
      <c r="E297">
        <v>1</v>
      </c>
      <c r="F297">
        <v>1272</v>
      </c>
      <c r="G297">
        <v>1272</v>
      </c>
      <c r="H297">
        <v>70</v>
      </c>
      <c r="I297">
        <v>89040</v>
      </c>
      <c r="J297">
        <v>13356</v>
      </c>
      <c r="K297">
        <v>102396</v>
      </c>
    </row>
    <row r="298" spans="1:11" x14ac:dyDescent="0.25">
      <c r="A298" s="1">
        <v>45838</v>
      </c>
      <c r="B298" t="s">
        <v>20</v>
      </c>
      <c r="C298" t="s">
        <v>72</v>
      </c>
      <c r="D298" t="s">
        <v>19</v>
      </c>
      <c r="E298">
        <v>5</v>
      </c>
      <c r="F298">
        <v>614</v>
      </c>
      <c r="G298">
        <v>500</v>
      </c>
      <c r="H298">
        <v>90</v>
      </c>
      <c r="I298">
        <v>45000</v>
      </c>
      <c r="J298">
        <v>6750</v>
      </c>
      <c r="K298">
        <v>51750</v>
      </c>
    </row>
    <row r="299" spans="1:11" x14ac:dyDescent="0.25">
      <c r="A299" s="1">
        <v>45855</v>
      </c>
      <c r="B299" t="s">
        <v>44</v>
      </c>
      <c r="C299" t="s">
        <v>48</v>
      </c>
      <c r="D299" t="s">
        <v>32</v>
      </c>
      <c r="E299">
        <v>8</v>
      </c>
      <c r="F299">
        <v>6</v>
      </c>
      <c r="G299">
        <v>525</v>
      </c>
      <c r="H299">
        <v>70</v>
      </c>
      <c r="I299">
        <v>36750</v>
      </c>
      <c r="J299">
        <v>5512.5</v>
      </c>
      <c r="K299">
        <v>42262.5</v>
      </c>
    </row>
    <row r="300" spans="1:11" x14ac:dyDescent="0.25">
      <c r="A300" s="1">
        <v>45838</v>
      </c>
      <c r="B300" t="s">
        <v>42</v>
      </c>
      <c r="C300" t="s">
        <v>84</v>
      </c>
      <c r="D300" t="s">
        <v>17</v>
      </c>
      <c r="E300">
        <v>4</v>
      </c>
      <c r="F300">
        <v>1619</v>
      </c>
      <c r="G300">
        <v>1619</v>
      </c>
      <c r="H300">
        <v>70</v>
      </c>
      <c r="I300">
        <v>113330</v>
      </c>
      <c r="J300">
        <v>16999.5</v>
      </c>
      <c r="K300">
        <v>130329.5</v>
      </c>
    </row>
    <row r="301" spans="1:11" x14ac:dyDescent="0.25">
      <c r="A301" s="1">
        <v>45838</v>
      </c>
      <c r="B301" t="s">
        <v>42</v>
      </c>
      <c r="C301" t="s">
        <v>84</v>
      </c>
      <c r="D301" t="s">
        <v>32</v>
      </c>
      <c r="E301">
        <v>4</v>
      </c>
      <c r="F301">
        <v>439</v>
      </c>
      <c r="G301">
        <v>439</v>
      </c>
      <c r="H301">
        <v>70</v>
      </c>
      <c r="I301">
        <v>30730</v>
      </c>
      <c r="J301">
        <v>4609.5</v>
      </c>
      <c r="K301">
        <v>35339.5</v>
      </c>
    </row>
    <row r="302" spans="1:11" x14ac:dyDescent="0.25">
      <c r="A302" s="1">
        <v>45839</v>
      </c>
      <c r="B302" t="s">
        <v>42</v>
      </c>
      <c r="C302" t="s">
        <v>37</v>
      </c>
      <c r="D302" t="s">
        <v>17</v>
      </c>
      <c r="E302">
        <v>2</v>
      </c>
      <c r="F302">
        <v>1660</v>
      </c>
      <c r="G302">
        <v>1660</v>
      </c>
      <c r="H302">
        <v>70</v>
      </c>
      <c r="I302">
        <v>116200</v>
      </c>
      <c r="J302">
        <v>17430</v>
      </c>
      <c r="K302">
        <v>133630</v>
      </c>
    </row>
    <row r="303" spans="1:11" x14ac:dyDescent="0.25">
      <c r="A303" s="1">
        <v>45839</v>
      </c>
      <c r="B303" t="s">
        <v>42</v>
      </c>
      <c r="C303" t="s">
        <v>37</v>
      </c>
      <c r="D303" t="s">
        <v>27</v>
      </c>
      <c r="E303">
        <v>12</v>
      </c>
      <c r="F303">
        <v>30</v>
      </c>
      <c r="G303">
        <v>30</v>
      </c>
      <c r="H303">
        <v>70</v>
      </c>
      <c r="I303">
        <v>2100</v>
      </c>
      <c r="J303">
        <v>315</v>
      </c>
      <c r="K303">
        <v>2415</v>
      </c>
    </row>
    <row r="304" spans="1:11" x14ac:dyDescent="0.25">
      <c r="A304" s="1">
        <v>45836</v>
      </c>
      <c r="B304" t="s">
        <v>70</v>
      </c>
      <c r="C304" t="s">
        <v>48</v>
      </c>
      <c r="D304" t="s">
        <v>26</v>
      </c>
      <c r="E304">
        <v>11</v>
      </c>
      <c r="F304">
        <v>1767</v>
      </c>
      <c r="G304">
        <v>1767</v>
      </c>
      <c r="H304">
        <v>90</v>
      </c>
      <c r="I304">
        <v>159030</v>
      </c>
      <c r="J304">
        <v>23854.5</v>
      </c>
      <c r="K304">
        <v>182884.5</v>
      </c>
    </row>
    <row r="305" spans="1:11" x14ac:dyDescent="0.25">
      <c r="A305" s="1">
        <v>45836</v>
      </c>
      <c r="B305" t="s">
        <v>36</v>
      </c>
      <c r="C305" t="s">
        <v>147</v>
      </c>
      <c r="D305" t="s">
        <v>17</v>
      </c>
      <c r="E305">
        <v>6</v>
      </c>
      <c r="F305">
        <v>6</v>
      </c>
      <c r="G305">
        <v>21.35</v>
      </c>
      <c r="H305">
        <v>2400</v>
      </c>
      <c r="I305">
        <v>51240</v>
      </c>
      <c r="J305">
        <v>7686</v>
      </c>
      <c r="K305">
        <v>58926</v>
      </c>
    </row>
    <row r="306" spans="1:11" x14ac:dyDescent="0.25">
      <c r="A306" s="1">
        <v>45834</v>
      </c>
      <c r="B306" t="s">
        <v>65</v>
      </c>
      <c r="C306" t="s">
        <v>28</v>
      </c>
      <c r="D306" t="s">
        <v>24</v>
      </c>
      <c r="E306">
        <v>7</v>
      </c>
      <c r="F306">
        <v>1580</v>
      </c>
      <c r="G306">
        <v>1580</v>
      </c>
      <c r="H306">
        <v>70</v>
      </c>
      <c r="I306">
        <v>110600</v>
      </c>
      <c r="J306">
        <v>16590</v>
      </c>
      <c r="K306">
        <v>127190</v>
      </c>
    </row>
    <row r="307" spans="1:11" x14ac:dyDescent="0.25">
      <c r="A307" s="1">
        <v>45836</v>
      </c>
      <c r="B307" t="s">
        <v>65</v>
      </c>
      <c r="C307" t="s">
        <v>69</v>
      </c>
      <c r="D307" t="s">
        <v>14</v>
      </c>
      <c r="E307">
        <v>3</v>
      </c>
      <c r="F307">
        <v>444</v>
      </c>
      <c r="G307">
        <v>444</v>
      </c>
      <c r="H307">
        <v>70</v>
      </c>
      <c r="I307">
        <v>31080</v>
      </c>
      <c r="J307">
        <v>4662</v>
      </c>
      <c r="K307">
        <v>35742</v>
      </c>
    </row>
    <row r="308" spans="1:11" x14ac:dyDescent="0.25">
      <c r="A308" s="1">
        <v>45834</v>
      </c>
      <c r="B308" t="s">
        <v>65</v>
      </c>
      <c r="C308" t="s">
        <v>28</v>
      </c>
      <c r="D308" t="s">
        <v>17</v>
      </c>
      <c r="E308">
        <v>10</v>
      </c>
      <c r="F308">
        <v>171</v>
      </c>
      <c r="G308">
        <v>171</v>
      </c>
      <c r="H308">
        <v>70</v>
      </c>
      <c r="I308">
        <v>11970</v>
      </c>
      <c r="J308">
        <v>1795.5</v>
      </c>
      <c r="K308">
        <v>13765.5</v>
      </c>
    </row>
    <row r="309" spans="1:11" x14ac:dyDescent="0.25">
      <c r="A309" s="1">
        <v>45836</v>
      </c>
      <c r="B309" t="s">
        <v>131</v>
      </c>
      <c r="C309" t="s">
        <v>148</v>
      </c>
      <c r="D309" t="s">
        <v>24</v>
      </c>
      <c r="E309">
        <v>5</v>
      </c>
      <c r="F309">
        <v>1</v>
      </c>
      <c r="G309">
        <v>5</v>
      </c>
      <c r="H309">
        <v>3000</v>
      </c>
      <c r="I309">
        <v>15000</v>
      </c>
      <c r="J309">
        <v>2250</v>
      </c>
      <c r="K309">
        <v>17250</v>
      </c>
    </row>
    <row r="310" spans="1:11" x14ac:dyDescent="0.25">
      <c r="A310" s="1">
        <v>45836</v>
      </c>
      <c r="B310" t="s">
        <v>65</v>
      </c>
      <c r="C310" t="s">
        <v>84</v>
      </c>
      <c r="D310" t="s">
        <v>59</v>
      </c>
      <c r="E310">
        <v>3</v>
      </c>
      <c r="F310">
        <v>130</v>
      </c>
      <c r="G310">
        <v>461</v>
      </c>
      <c r="H310">
        <v>70</v>
      </c>
      <c r="I310">
        <v>32270</v>
      </c>
      <c r="J310">
        <v>4840.5</v>
      </c>
      <c r="K310">
        <v>37110.5</v>
      </c>
    </row>
    <row r="311" spans="1:11" x14ac:dyDescent="0.25">
      <c r="A311" s="1">
        <v>45847</v>
      </c>
      <c r="B311" t="s">
        <v>65</v>
      </c>
      <c r="C311" t="s">
        <v>50</v>
      </c>
      <c r="D311" t="s">
        <v>24</v>
      </c>
      <c r="E311">
        <v>14</v>
      </c>
      <c r="F311">
        <v>2160</v>
      </c>
      <c r="G311">
        <v>2160</v>
      </c>
      <c r="H311">
        <v>70</v>
      </c>
      <c r="I311">
        <v>151200</v>
      </c>
      <c r="J311">
        <v>22680</v>
      </c>
      <c r="K311">
        <v>173880</v>
      </c>
    </row>
    <row r="312" spans="1:11" x14ac:dyDescent="0.25">
      <c r="A312" s="1">
        <v>45853</v>
      </c>
      <c r="B312" t="s">
        <v>65</v>
      </c>
      <c r="C312" t="s">
        <v>126</v>
      </c>
      <c r="D312" t="s">
        <v>24</v>
      </c>
      <c r="E312">
        <v>10</v>
      </c>
      <c r="F312">
        <v>1730</v>
      </c>
      <c r="G312">
        <v>1730</v>
      </c>
      <c r="H312">
        <v>70</v>
      </c>
      <c r="I312">
        <v>121100</v>
      </c>
      <c r="J312">
        <v>18165</v>
      </c>
      <c r="K312">
        <v>139265</v>
      </c>
    </row>
    <row r="313" spans="1:11" x14ac:dyDescent="0.25">
      <c r="A313" s="1">
        <v>45836</v>
      </c>
      <c r="B313" t="s">
        <v>12</v>
      </c>
      <c r="C313" t="s">
        <v>21</v>
      </c>
      <c r="D313" t="s">
        <v>32</v>
      </c>
      <c r="E313">
        <v>2</v>
      </c>
      <c r="F313">
        <v>1</v>
      </c>
      <c r="G313">
        <v>20</v>
      </c>
      <c r="H313">
        <v>15000</v>
      </c>
      <c r="I313">
        <v>300000</v>
      </c>
      <c r="J313">
        <v>45000</v>
      </c>
      <c r="K313">
        <v>345000</v>
      </c>
    </row>
    <row r="314" spans="1:11" x14ac:dyDescent="0.25">
      <c r="A314" s="1">
        <v>45836</v>
      </c>
      <c r="B314" t="s">
        <v>65</v>
      </c>
      <c r="C314" t="s">
        <v>84</v>
      </c>
      <c r="D314" t="s">
        <v>32</v>
      </c>
      <c r="E314">
        <v>6</v>
      </c>
      <c r="F314">
        <v>679</v>
      </c>
      <c r="G314">
        <v>679</v>
      </c>
      <c r="H314">
        <v>70</v>
      </c>
      <c r="I314">
        <v>47530</v>
      </c>
      <c r="J314">
        <v>7129.5</v>
      </c>
      <c r="K314">
        <v>54659.5</v>
      </c>
    </row>
    <row r="315" spans="1:11" x14ac:dyDescent="0.25">
      <c r="A315" s="1">
        <v>45836</v>
      </c>
      <c r="B315" t="s">
        <v>44</v>
      </c>
      <c r="C315" t="s">
        <v>23</v>
      </c>
      <c r="D315" t="s">
        <v>63</v>
      </c>
      <c r="E315">
        <v>8</v>
      </c>
      <c r="F315">
        <v>729</v>
      </c>
      <c r="G315">
        <v>729</v>
      </c>
      <c r="H315">
        <v>70</v>
      </c>
      <c r="I315">
        <v>51030</v>
      </c>
      <c r="J315">
        <v>7654.5</v>
      </c>
      <c r="K315">
        <v>58684.5</v>
      </c>
    </row>
    <row r="316" spans="1:11" x14ac:dyDescent="0.25">
      <c r="A316" s="1">
        <v>45836</v>
      </c>
      <c r="B316" t="s">
        <v>131</v>
      </c>
      <c r="C316" t="s">
        <v>149</v>
      </c>
      <c r="D316" t="s">
        <v>24</v>
      </c>
      <c r="E316">
        <v>5</v>
      </c>
      <c r="F316">
        <v>1</v>
      </c>
      <c r="G316">
        <v>5</v>
      </c>
      <c r="H316">
        <v>3000</v>
      </c>
      <c r="I316">
        <v>15000</v>
      </c>
      <c r="J316">
        <v>2250</v>
      </c>
      <c r="K316">
        <v>17250</v>
      </c>
    </row>
    <row r="317" spans="1:11" x14ac:dyDescent="0.25">
      <c r="A317" s="1">
        <v>45838</v>
      </c>
      <c r="B317" t="s">
        <v>150</v>
      </c>
      <c r="C317" t="s">
        <v>76</v>
      </c>
      <c r="D317" t="s">
        <v>63</v>
      </c>
      <c r="E317">
        <v>6</v>
      </c>
      <c r="F317">
        <v>81300</v>
      </c>
      <c r="G317">
        <v>81300</v>
      </c>
      <c r="H317">
        <v>12</v>
      </c>
      <c r="I317">
        <v>975600</v>
      </c>
      <c r="J317">
        <v>146340</v>
      </c>
      <c r="K317">
        <v>1121940</v>
      </c>
    </row>
    <row r="318" spans="1:11" x14ac:dyDescent="0.25">
      <c r="A318" s="1">
        <v>45838</v>
      </c>
      <c r="B318" t="s">
        <v>60</v>
      </c>
      <c r="C318" t="s">
        <v>149</v>
      </c>
      <c r="D318" t="s">
        <v>32</v>
      </c>
      <c r="E318">
        <v>20</v>
      </c>
      <c r="G318">
        <v>19.170000000000002</v>
      </c>
      <c r="H318">
        <v>5000</v>
      </c>
      <c r="I318">
        <v>95850</v>
      </c>
      <c r="J318">
        <v>14377.5</v>
      </c>
      <c r="K318">
        <v>110227.5</v>
      </c>
    </row>
    <row r="319" spans="1:11" x14ac:dyDescent="0.25">
      <c r="A319" s="1">
        <v>45838</v>
      </c>
      <c r="B319" t="s">
        <v>70</v>
      </c>
      <c r="C319" t="s">
        <v>151</v>
      </c>
      <c r="D319" t="s">
        <v>27</v>
      </c>
      <c r="E319">
        <v>4</v>
      </c>
      <c r="F319">
        <v>2427</v>
      </c>
      <c r="G319">
        <v>2427</v>
      </c>
      <c r="H319">
        <v>90</v>
      </c>
      <c r="I319">
        <v>218430</v>
      </c>
      <c r="J319">
        <v>32764.5</v>
      </c>
      <c r="K319">
        <v>251194.5</v>
      </c>
    </row>
    <row r="320" spans="1:11" x14ac:dyDescent="0.25">
      <c r="A320" s="1">
        <v>45836</v>
      </c>
      <c r="B320" t="s">
        <v>92</v>
      </c>
      <c r="C320" t="s">
        <v>96</v>
      </c>
      <c r="D320" t="s">
        <v>108</v>
      </c>
      <c r="E320">
        <v>1</v>
      </c>
      <c r="F320">
        <v>1</v>
      </c>
      <c r="G320">
        <v>2</v>
      </c>
      <c r="H320">
        <v>2700</v>
      </c>
      <c r="I320">
        <v>5400</v>
      </c>
      <c r="J320">
        <v>810</v>
      </c>
      <c r="K320">
        <v>6210</v>
      </c>
    </row>
    <row r="321" spans="1:11" x14ac:dyDescent="0.25">
      <c r="A321" s="1">
        <v>45836</v>
      </c>
      <c r="B321" t="s">
        <v>92</v>
      </c>
      <c r="C321" t="s">
        <v>109</v>
      </c>
      <c r="D321" t="s">
        <v>108</v>
      </c>
      <c r="E321">
        <v>1</v>
      </c>
      <c r="F321">
        <v>1</v>
      </c>
      <c r="G321">
        <v>2</v>
      </c>
      <c r="H321">
        <v>2700</v>
      </c>
      <c r="I321">
        <v>5400</v>
      </c>
      <c r="J321">
        <v>810</v>
      </c>
      <c r="K321">
        <v>6210</v>
      </c>
    </row>
    <row r="322" spans="1:11" x14ac:dyDescent="0.25">
      <c r="A322" s="1">
        <v>45836</v>
      </c>
      <c r="B322" t="s">
        <v>92</v>
      </c>
      <c r="C322" t="s">
        <v>53</v>
      </c>
      <c r="D322" t="s">
        <v>108</v>
      </c>
      <c r="E322">
        <v>1</v>
      </c>
      <c r="F322">
        <v>1</v>
      </c>
      <c r="G322">
        <v>2</v>
      </c>
      <c r="H322">
        <v>2700</v>
      </c>
      <c r="I322">
        <v>5400</v>
      </c>
      <c r="J322">
        <v>810</v>
      </c>
      <c r="K322">
        <v>6210</v>
      </c>
    </row>
    <row r="323" spans="1:11" x14ac:dyDescent="0.25">
      <c r="A323" s="1">
        <v>45836</v>
      </c>
      <c r="B323" t="s">
        <v>92</v>
      </c>
      <c r="C323" t="s">
        <v>49</v>
      </c>
      <c r="D323" t="s">
        <v>108</v>
      </c>
      <c r="E323">
        <v>1</v>
      </c>
      <c r="F323">
        <v>1</v>
      </c>
      <c r="G323">
        <v>2</v>
      </c>
      <c r="H323">
        <v>2700</v>
      </c>
      <c r="I323">
        <v>5400</v>
      </c>
      <c r="J323">
        <v>810</v>
      </c>
      <c r="K323">
        <v>6210</v>
      </c>
    </row>
    <row r="324" spans="1:11" x14ac:dyDescent="0.25">
      <c r="A324" s="1">
        <v>45836</v>
      </c>
      <c r="B324" t="s">
        <v>92</v>
      </c>
      <c r="C324" t="s">
        <v>50</v>
      </c>
      <c r="D324" t="s">
        <v>108</v>
      </c>
      <c r="E324">
        <v>1</v>
      </c>
      <c r="F324">
        <v>1</v>
      </c>
      <c r="G324">
        <v>2</v>
      </c>
      <c r="H324">
        <v>2700</v>
      </c>
      <c r="I324">
        <v>5400</v>
      </c>
      <c r="J324">
        <v>810</v>
      </c>
      <c r="K324">
        <v>6210</v>
      </c>
    </row>
    <row r="325" spans="1:11" x14ac:dyDescent="0.25">
      <c r="A325" s="1">
        <v>45836</v>
      </c>
      <c r="B325" t="s">
        <v>92</v>
      </c>
      <c r="C325" t="s">
        <v>152</v>
      </c>
      <c r="D325" t="s">
        <v>108</v>
      </c>
      <c r="E325">
        <v>1</v>
      </c>
      <c r="F325">
        <v>1</v>
      </c>
      <c r="G325">
        <v>2</v>
      </c>
      <c r="H325">
        <v>2700</v>
      </c>
      <c r="I325">
        <v>5400</v>
      </c>
      <c r="J325">
        <v>810</v>
      </c>
      <c r="K325">
        <v>6210</v>
      </c>
    </row>
    <row r="326" spans="1:11" x14ac:dyDescent="0.25">
      <c r="A326" s="1">
        <v>45836</v>
      </c>
      <c r="B326" t="s">
        <v>92</v>
      </c>
      <c r="C326" t="s">
        <v>48</v>
      </c>
      <c r="D326" t="s">
        <v>108</v>
      </c>
      <c r="E326">
        <v>1</v>
      </c>
      <c r="F326">
        <v>1</v>
      </c>
      <c r="G326">
        <v>2</v>
      </c>
      <c r="H326">
        <v>2700</v>
      </c>
      <c r="I326">
        <v>5400</v>
      </c>
      <c r="J326">
        <v>810</v>
      </c>
      <c r="K326">
        <v>6210</v>
      </c>
    </row>
    <row r="327" spans="1:11" x14ac:dyDescent="0.25">
      <c r="A327" s="1">
        <v>45836</v>
      </c>
      <c r="B327" t="s">
        <v>92</v>
      </c>
      <c r="C327" t="s">
        <v>109</v>
      </c>
      <c r="D327" t="s">
        <v>108</v>
      </c>
      <c r="E327">
        <v>1</v>
      </c>
      <c r="F327">
        <v>1</v>
      </c>
      <c r="G327">
        <v>2</v>
      </c>
      <c r="H327">
        <v>2700</v>
      </c>
      <c r="I327">
        <v>5400</v>
      </c>
      <c r="J327">
        <v>810</v>
      </c>
      <c r="K327">
        <v>6210</v>
      </c>
    </row>
    <row r="328" spans="1:11" x14ac:dyDescent="0.25">
      <c r="A328" s="1">
        <v>45838</v>
      </c>
      <c r="B328" t="s">
        <v>44</v>
      </c>
      <c r="C328" t="s">
        <v>54</v>
      </c>
      <c r="D328" t="s">
        <v>17</v>
      </c>
      <c r="E328">
        <v>5</v>
      </c>
      <c r="F328">
        <v>1140</v>
      </c>
      <c r="G328">
        <v>497</v>
      </c>
      <c r="H328">
        <v>70</v>
      </c>
      <c r="I328">
        <v>34790</v>
      </c>
      <c r="J328">
        <v>5218.5</v>
      </c>
      <c r="K328">
        <v>40008.5</v>
      </c>
    </row>
    <row r="329" spans="1:11" x14ac:dyDescent="0.25">
      <c r="A329" s="1">
        <v>45838</v>
      </c>
      <c r="B329" t="s">
        <v>20</v>
      </c>
      <c r="C329" t="s">
        <v>29</v>
      </c>
      <c r="D329" t="s">
        <v>26</v>
      </c>
      <c r="E329">
        <v>1</v>
      </c>
      <c r="F329">
        <v>154</v>
      </c>
      <c r="G329">
        <v>154</v>
      </c>
      <c r="H329">
        <v>90</v>
      </c>
      <c r="I329">
        <v>13860</v>
      </c>
      <c r="J329">
        <v>2079</v>
      </c>
      <c r="K329">
        <v>15939</v>
      </c>
    </row>
    <row r="330" spans="1:11" x14ac:dyDescent="0.25">
      <c r="A330" s="1">
        <v>45838</v>
      </c>
      <c r="B330" t="s">
        <v>20</v>
      </c>
      <c r="C330" t="s">
        <v>29</v>
      </c>
      <c r="D330" t="s">
        <v>27</v>
      </c>
      <c r="E330">
        <v>3</v>
      </c>
      <c r="F330">
        <v>82</v>
      </c>
      <c r="G330">
        <v>82</v>
      </c>
      <c r="H330">
        <v>90</v>
      </c>
      <c r="I330">
        <v>7380</v>
      </c>
      <c r="J330">
        <v>1107</v>
      </c>
      <c r="K330">
        <v>8487</v>
      </c>
    </row>
    <row r="331" spans="1:11" x14ac:dyDescent="0.25">
      <c r="A331" s="1">
        <v>45838</v>
      </c>
      <c r="B331" t="s">
        <v>20</v>
      </c>
      <c r="C331" t="s">
        <v>37</v>
      </c>
      <c r="D331" t="s">
        <v>32</v>
      </c>
      <c r="E331">
        <v>7</v>
      </c>
      <c r="F331">
        <v>38</v>
      </c>
      <c r="G331">
        <v>38</v>
      </c>
      <c r="H331">
        <v>90</v>
      </c>
      <c r="I331">
        <v>3420</v>
      </c>
      <c r="J331">
        <v>513</v>
      </c>
      <c r="K331">
        <v>3933</v>
      </c>
    </row>
    <row r="332" spans="1:11" x14ac:dyDescent="0.25">
      <c r="A332" s="1">
        <v>45838</v>
      </c>
      <c r="B332" t="s">
        <v>20</v>
      </c>
      <c r="C332" t="s">
        <v>37</v>
      </c>
      <c r="D332" t="s">
        <v>24</v>
      </c>
      <c r="E332">
        <v>1</v>
      </c>
      <c r="F332">
        <v>303</v>
      </c>
      <c r="G332">
        <v>303</v>
      </c>
      <c r="H332">
        <v>90</v>
      </c>
      <c r="I332">
        <v>27270</v>
      </c>
      <c r="J332">
        <v>4090.5</v>
      </c>
      <c r="K332">
        <v>31360.5</v>
      </c>
    </row>
    <row r="333" spans="1:11" x14ac:dyDescent="0.25">
      <c r="A333" s="1">
        <v>45838</v>
      </c>
      <c r="B333" t="s">
        <v>20</v>
      </c>
      <c r="C333" t="s">
        <v>37</v>
      </c>
      <c r="D333" t="s">
        <v>17</v>
      </c>
      <c r="E333">
        <v>13</v>
      </c>
      <c r="F333">
        <v>1277</v>
      </c>
      <c r="G333">
        <v>1277</v>
      </c>
      <c r="H333">
        <v>90</v>
      </c>
      <c r="I333">
        <v>114930</v>
      </c>
      <c r="J333">
        <v>17239.5</v>
      </c>
      <c r="K333">
        <v>132169.5</v>
      </c>
    </row>
    <row r="334" spans="1:11" x14ac:dyDescent="0.25">
      <c r="A334" s="1">
        <v>45838</v>
      </c>
      <c r="B334" t="s">
        <v>20</v>
      </c>
      <c r="C334" t="s">
        <v>37</v>
      </c>
      <c r="D334" t="s">
        <v>26</v>
      </c>
      <c r="E334">
        <v>6</v>
      </c>
      <c r="F334">
        <v>356</v>
      </c>
      <c r="G334">
        <v>356</v>
      </c>
      <c r="H334">
        <v>90</v>
      </c>
      <c r="I334">
        <v>32040</v>
      </c>
      <c r="J334">
        <v>4806</v>
      </c>
      <c r="K334">
        <v>36846</v>
      </c>
    </row>
    <row r="335" spans="1:11" x14ac:dyDescent="0.25">
      <c r="A335" s="1">
        <v>45838</v>
      </c>
      <c r="B335" t="s">
        <v>20</v>
      </c>
      <c r="C335" t="s">
        <v>37</v>
      </c>
      <c r="D335" t="s">
        <v>27</v>
      </c>
      <c r="E335">
        <v>6</v>
      </c>
      <c r="F335">
        <v>14</v>
      </c>
      <c r="G335">
        <v>14</v>
      </c>
      <c r="H335">
        <v>90</v>
      </c>
      <c r="I335">
        <v>1260</v>
      </c>
      <c r="J335">
        <v>189</v>
      </c>
      <c r="K335">
        <v>1449</v>
      </c>
    </row>
    <row r="336" spans="1:11" x14ac:dyDescent="0.25">
      <c r="A336" s="1">
        <v>45838</v>
      </c>
      <c r="B336" t="s">
        <v>20</v>
      </c>
      <c r="C336" t="s">
        <v>37</v>
      </c>
      <c r="D336" t="s">
        <v>63</v>
      </c>
      <c r="E336">
        <v>9</v>
      </c>
      <c r="F336">
        <v>221</v>
      </c>
      <c r="G336">
        <v>221</v>
      </c>
      <c r="H336">
        <v>90</v>
      </c>
      <c r="I336">
        <v>19890</v>
      </c>
      <c r="J336">
        <v>2983.5</v>
      </c>
      <c r="K336">
        <v>22873.5</v>
      </c>
    </row>
    <row r="337" spans="1:11" x14ac:dyDescent="0.25">
      <c r="A337" s="1">
        <v>45839</v>
      </c>
      <c r="B337" t="s">
        <v>20</v>
      </c>
      <c r="C337" t="s">
        <v>72</v>
      </c>
      <c r="D337" t="s">
        <v>32</v>
      </c>
      <c r="E337">
        <v>13</v>
      </c>
      <c r="F337">
        <v>117</v>
      </c>
      <c r="G337">
        <v>117</v>
      </c>
      <c r="H337">
        <v>90</v>
      </c>
      <c r="I337">
        <v>10530</v>
      </c>
      <c r="J337">
        <v>1579.5</v>
      </c>
      <c r="K337">
        <v>12109.5</v>
      </c>
    </row>
    <row r="338" spans="1:11" x14ac:dyDescent="0.25">
      <c r="A338" s="1">
        <v>45839</v>
      </c>
      <c r="B338" t="s">
        <v>20</v>
      </c>
      <c r="C338" t="s">
        <v>72</v>
      </c>
      <c r="D338" t="s">
        <v>24</v>
      </c>
      <c r="E338">
        <v>4</v>
      </c>
      <c r="F338">
        <v>1043</v>
      </c>
      <c r="G338">
        <v>1043</v>
      </c>
      <c r="H338">
        <v>90</v>
      </c>
      <c r="I338">
        <v>93870</v>
      </c>
      <c r="J338">
        <v>14080.5</v>
      </c>
      <c r="K338">
        <v>107950.5</v>
      </c>
    </row>
    <row r="339" spans="1:11" x14ac:dyDescent="0.25">
      <c r="A339" s="1">
        <v>45840</v>
      </c>
      <c r="B339" t="s">
        <v>20</v>
      </c>
      <c r="C339" t="s">
        <v>40</v>
      </c>
      <c r="D339" t="s">
        <v>19</v>
      </c>
      <c r="E339">
        <v>9</v>
      </c>
      <c r="F339">
        <v>619</v>
      </c>
      <c r="G339">
        <v>572</v>
      </c>
      <c r="H339">
        <v>90</v>
      </c>
      <c r="I339">
        <v>51480</v>
      </c>
      <c r="J339">
        <v>7722</v>
      </c>
      <c r="K339">
        <v>59202</v>
      </c>
    </row>
    <row r="340" spans="1:11" x14ac:dyDescent="0.25">
      <c r="A340" s="1">
        <v>45838</v>
      </c>
      <c r="B340" t="s">
        <v>70</v>
      </c>
      <c r="C340" t="s">
        <v>91</v>
      </c>
      <c r="D340" t="s">
        <v>11</v>
      </c>
      <c r="E340">
        <v>3</v>
      </c>
      <c r="F340">
        <v>1750</v>
      </c>
      <c r="G340">
        <v>1750</v>
      </c>
      <c r="H340">
        <v>90</v>
      </c>
      <c r="I340">
        <v>157500</v>
      </c>
      <c r="J340">
        <v>23625</v>
      </c>
      <c r="K340">
        <v>181125</v>
      </c>
    </row>
    <row r="341" spans="1:11" x14ac:dyDescent="0.25">
      <c r="A341" s="1">
        <v>45838</v>
      </c>
      <c r="B341" t="s">
        <v>70</v>
      </c>
      <c r="C341" t="s">
        <v>51</v>
      </c>
      <c r="D341" t="s">
        <v>11</v>
      </c>
      <c r="E341">
        <v>7</v>
      </c>
      <c r="F341">
        <v>2104</v>
      </c>
      <c r="G341">
        <v>2104</v>
      </c>
      <c r="H341">
        <v>90</v>
      </c>
      <c r="I341">
        <v>189360</v>
      </c>
      <c r="J341">
        <v>28404</v>
      </c>
      <c r="K341">
        <v>217764</v>
      </c>
    </row>
    <row r="342" spans="1:11" x14ac:dyDescent="0.25">
      <c r="A342" s="1">
        <v>45838</v>
      </c>
      <c r="B342" t="s">
        <v>30</v>
      </c>
      <c r="C342" t="s">
        <v>91</v>
      </c>
      <c r="D342" t="s">
        <v>32</v>
      </c>
      <c r="E342">
        <v>15</v>
      </c>
      <c r="F342">
        <v>78</v>
      </c>
      <c r="G342">
        <v>3234</v>
      </c>
      <c r="H342">
        <v>70</v>
      </c>
      <c r="I342">
        <v>226380</v>
      </c>
      <c r="J342">
        <v>33957</v>
      </c>
      <c r="K342">
        <v>260337</v>
      </c>
    </row>
    <row r="343" spans="1:11" x14ac:dyDescent="0.25">
      <c r="A343" s="1">
        <v>45838</v>
      </c>
      <c r="B343" t="s">
        <v>153</v>
      </c>
      <c r="C343" t="s">
        <v>72</v>
      </c>
      <c r="D343" t="s">
        <v>19</v>
      </c>
      <c r="E343">
        <v>2</v>
      </c>
      <c r="F343">
        <v>0</v>
      </c>
      <c r="G343">
        <v>2</v>
      </c>
      <c r="H343">
        <v>2700</v>
      </c>
      <c r="I343">
        <v>5400</v>
      </c>
      <c r="J343">
        <v>810</v>
      </c>
      <c r="K343">
        <v>6210</v>
      </c>
    </row>
    <row r="344" spans="1:11" x14ac:dyDescent="0.25">
      <c r="A344" s="1">
        <v>45838</v>
      </c>
      <c r="B344" t="s">
        <v>36</v>
      </c>
      <c r="C344" t="s">
        <v>37</v>
      </c>
      <c r="D344" t="s">
        <v>24</v>
      </c>
      <c r="E344">
        <v>3</v>
      </c>
      <c r="F344">
        <v>5</v>
      </c>
      <c r="G344">
        <v>10</v>
      </c>
      <c r="H344">
        <v>2400</v>
      </c>
      <c r="I344">
        <v>24000</v>
      </c>
      <c r="J344">
        <v>3600</v>
      </c>
      <c r="K344">
        <v>27600</v>
      </c>
    </row>
    <row r="345" spans="1:11" x14ac:dyDescent="0.25">
      <c r="A345" s="1">
        <v>45838</v>
      </c>
      <c r="B345" t="s">
        <v>154</v>
      </c>
      <c r="C345" t="s">
        <v>155</v>
      </c>
      <c r="D345" t="s">
        <v>27</v>
      </c>
      <c r="E345">
        <v>2</v>
      </c>
      <c r="F345">
        <v>0</v>
      </c>
      <c r="G345">
        <v>2</v>
      </c>
      <c r="H345">
        <v>3000</v>
      </c>
      <c r="I345">
        <v>6000</v>
      </c>
      <c r="J345">
        <v>900</v>
      </c>
      <c r="K345">
        <v>6900</v>
      </c>
    </row>
    <row r="346" spans="1:11" x14ac:dyDescent="0.25">
      <c r="A346" s="1">
        <v>45854</v>
      </c>
      <c r="B346" t="s">
        <v>44</v>
      </c>
      <c r="C346" t="s">
        <v>49</v>
      </c>
      <c r="D346" t="s">
        <v>32</v>
      </c>
      <c r="E346">
        <v>7</v>
      </c>
      <c r="F346">
        <v>490</v>
      </c>
      <c r="G346">
        <v>1104</v>
      </c>
      <c r="H346">
        <v>70</v>
      </c>
      <c r="I346">
        <v>77280</v>
      </c>
      <c r="J346">
        <v>11592</v>
      </c>
      <c r="K346">
        <v>88872</v>
      </c>
    </row>
    <row r="347" spans="1:11" x14ac:dyDescent="0.25">
      <c r="A347" s="1">
        <v>45841</v>
      </c>
      <c r="B347" t="s">
        <v>42</v>
      </c>
      <c r="C347" t="s">
        <v>81</v>
      </c>
      <c r="D347" t="s">
        <v>26</v>
      </c>
      <c r="E347">
        <v>12</v>
      </c>
      <c r="F347">
        <v>439</v>
      </c>
      <c r="G347">
        <v>439</v>
      </c>
      <c r="H347">
        <v>70</v>
      </c>
      <c r="I347">
        <v>30730</v>
      </c>
      <c r="J347">
        <v>4609.5</v>
      </c>
      <c r="K347">
        <v>35339.5</v>
      </c>
    </row>
    <row r="348" spans="1:11" x14ac:dyDescent="0.25">
      <c r="A348" s="1">
        <v>45838</v>
      </c>
      <c r="B348" t="s">
        <v>36</v>
      </c>
      <c r="C348" t="s">
        <v>156</v>
      </c>
      <c r="D348" t="s">
        <v>19</v>
      </c>
      <c r="E348">
        <v>7</v>
      </c>
      <c r="F348">
        <v>8</v>
      </c>
      <c r="G348">
        <v>20</v>
      </c>
      <c r="H348">
        <v>2400</v>
      </c>
      <c r="I348">
        <v>48000</v>
      </c>
      <c r="J348">
        <v>7200</v>
      </c>
      <c r="K348">
        <v>55200</v>
      </c>
    </row>
    <row r="349" spans="1:11" x14ac:dyDescent="0.25">
      <c r="A349" s="1">
        <v>45838</v>
      </c>
      <c r="B349" t="s">
        <v>44</v>
      </c>
      <c r="C349" t="s">
        <v>157</v>
      </c>
      <c r="D349" t="s">
        <v>88</v>
      </c>
      <c r="E349">
        <v>1</v>
      </c>
      <c r="F349">
        <v>245</v>
      </c>
      <c r="G349">
        <v>245</v>
      </c>
      <c r="H349">
        <v>70</v>
      </c>
      <c r="I349">
        <v>17150</v>
      </c>
      <c r="J349">
        <v>2572.5</v>
      </c>
      <c r="K349">
        <v>19722.5</v>
      </c>
    </row>
    <row r="350" spans="1:11" x14ac:dyDescent="0.25">
      <c r="A350" s="1">
        <v>45839</v>
      </c>
      <c r="B350" t="s">
        <v>42</v>
      </c>
      <c r="C350" t="s">
        <v>40</v>
      </c>
      <c r="D350" t="s">
        <v>27</v>
      </c>
      <c r="E350">
        <v>2</v>
      </c>
      <c r="F350">
        <v>16</v>
      </c>
      <c r="G350">
        <v>16</v>
      </c>
      <c r="H350">
        <v>70</v>
      </c>
      <c r="I350">
        <v>1120</v>
      </c>
      <c r="J350">
        <v>168</v>
      </c>
      <c r="K350">
        <v>1288</v>
      </c>
    </row>
    <row r="351" spans="1:11" x14ac:dyDescent="0.25">
      <c r="A351" s="1">
        <v>45838</v>
      </c>
      <c r="B351" t="s">
        <v>39</v>
      </c>
      <c r="C351" t="s">
        <v>158</v>
      </c>
      <c r="D351" t="s">
        <v>27</v>
      </c>
      <c r="E351">
        <v>7</v>
      </c>
      <c r="F351">
        <v>3</v>
      </c>
      <c r="G351">
        <v>3</v>
      </c>
      <c r="H351">
        <v>2500</v>
      </c>
      <c r="I351">
        <v>7500</v>
      </c>
      <c r="J351">
        <v>1125</v>
      </c>
      <c r="K351">
        <v>8625</v>
      </c>
    </row>
    <row r="352" spans="1:11" x14ac:dyDescent="0.25">
      <c r="A352" s="1">
        <v>45838</v>
      </c>
      <c r="B352" t="s">
        <v>20</v>
      </c>
      <c r="C352" t="s">
        <v>72</v>
      </c>
      <c r="D352" t="s">
        <v>17</v>
      </c>
      <c r="E352">
        <v>6</v>
      </c>
      <c r="F352">
        <v>196</v>
      </c>
      <c r="G352">
        <v>196</v>
      </c>
      <c r="H352">
        <v>90</v>
      </c>
      <c r="I352">
        <v>17640</v>
      </c>
      <c r="J352">
        <v>2646</v>
      </c>
      <c r="K352">
        <v>20286</v>
      </c>
    </row>
    <row r="353" spans="1:11" x14ac:dyDescent="0.25">
      <c r="A353" s="1">
        <v>45856</v>
      </c>
      <c r="B353" t="s">
        <v>65</v>
      </c>
      <c r="C353" t="s">
        <v>151</v>
      </c>
      <c r="D353" t="s">
        <v>24</v>
      </c>
      <c r="E353">
        <v>14</v>
      </c>
      <c r="F353">
        <v>1565</v>
      </c>
      <c r="G353">
        <v>1565</v>
      </c>
      <c r="H353">
        <v>70</v>
      </c>
      <c r="I353">
        <v>109550</v>
      </c>
      <c r="J353">
        <v>16432.5</v>
      </c>
      <c r="K353">
        <v>125982.5</v>
      </c>
    </row>
    <row r="354" spans="1:11" x14ac:dyDescent="0.25">
      <c r="A354" s="1">
        <v>45838</v>
      </c>
      <c r="B354" t="s">
        <v>12</v>
      </c>
      <c r="C354" t="s">
        <v>136</v>
      </c>
      <c r="D354" t="s">
        <v>57</v>
      </c>
      <c r="E354">
        <v>8</v>
      </c>
      <c r="F354">
        <v>1</v>
      </c>
      <c r="G354">
        <v>3.06</v>
      </c>
      <c r="H354">
        <v>5000</v>
      </c>
      <c r="I354">
        <v>15300</v>
      </c>
      <c r="J354">
        <v>2295</v>
      </c>
      <c r="K354">
        <v>17595</v>
      </c>
    </row>
    <row r="355" spans="1:11" x14ac:dyDescent="0.25">
      <c r="A355" s="1">
        <v>45838</v>
      </c>
      <c r="B355" t="s">
        <v>65</v>
      </c>
      <c r="C355" t="s">
        <v>13</v>
      </c>
      <c r="D355" t="s">
        <v>32</v>
      </c>
      <c r="E355">
        <v>4</v>
      </c>
      <c r="F355">
        <v>400</v>
      </c>
      <c r="G355">
        <v>400</v>
      </c>
      <c r="H355">
        <v>70</v>
      </c>
      <c r="I355">
        <v>28000</v>
      </c>
      <c r="J355">
        <v>4200</v>
      </c>
      <c r="K355">
        <v>32200</v>
      </c>
    </row>
    <row r="356" spans="1:11" x14ac:dyDescent="0.25">
      <c r="A356" s="1">
        <v>45838</v>
      </c>
      <c r="B356" t="s">
        <v>65</v>
      </c>
      <c r="C356" t="s">
        <v>47</v>
      </c>
      <c r="D356" t="s">
        <v>32</v>
      </c>
      <c r="E356">
        <v>4</v>
      </c>
      <c r="F356">
        <v>420</v>
      </c>
      <c r="G356">
        <v>420</v>
      </c>
      <c r="H356">
        <v>70</v>
      </c>
      <c r="I356">
        <v>29400</v>
      </c>
      <c r="J356">
        <v>4410</v>
      </c>
      <c r="K356">
        <v>33810</v>
      </c>
    </row>
    <row r="357" spans="1:11" x14ac:dyDescent="0.25">
      <c r="A357" s="1">
        <v>45856</v>
      </c>
      <c r="B357" t="s">
        <v>65</v>
      </c>
      <c r="C357" t="s">
        <v>159</v>
      </c>
      <c r="D357" t="s">
        <v>24</v>
      </c>
      <c r="E357">
        <v>10</v>
      </c>
      <c r="F357">
        <v>779</v>
      </c>
      <c r="G357">
        <v>779</v>
      </c>
      <c r="H357">
        <v>70</v>
      </c>
      <c r="I357">
        <v>54530</v>
      </c>
      <c r="J357">
        <v>8179.5</v>
      </c>
      <c r="K357">
        <v>62709.5</v>
      </c>
    </row>
    <row r="358" spans="1:11" x14ac:dyDescent="0.25">
      <c r="A358" s="1">
        <v>45838</v>
      </c>
      <c r="B358" t="s">
        <v>70</v>
      </c>
      <c r="C358" t="s">
        <v>160</v>
      </c>
      <c r="D358" t="s">
        <v>11</v>
      </c>
      <c r="E358">
        <v>4</v>
      </c>
      <c r="F358">
        <v>2142</v>
      </c>
      <c r="G358">
        <v>2142</v>
      </c>
      <c r="H358">
        <v>90</v>
      </c>
      <c r="I358">
        <v>192780</v>
      </c>
      <c r="J358">
        <v>28917</v>
      </c>
      <c r="K358">
        <v>221697</v>
      </c>
    </row>
    <row r="359" spans="1:11" x14ac:dyDescent="0.25">
      <c r="A359" s="1">
        <v>45838</v>
      </c>
      <c r="B359" t="s">
        <v>39</v>
      </c>
      <c r="C359" t="s">
        <v>161</v>
      </c>
      <c r="D359" t="s">
        <v>27</v>
      </c>
      <c r="E359">
        <v>3</v>
      </c>
      <c r="F359">
        <v>3</v>
      </c>
      <c r="G359">
        <v>3</v>
      </c>
      <c r="H359">
        <v>2500</v>
      </c>
      <c r="I359">
        <v>7500</v>
      </c>
      <c r="J359">
        <v>1125</v>
      </c>
      <c r="K359">
        <v>8625</v>
      </c>
    </row>
    <row r="360" spans="1:11" x14ac:dyDescent="0.25">
      <c r="A360" s="1">
        <v>45838</v>
      </c>
      <c r="B360" t="s">
        <v>36</v>
      </c>
      <c r="C360" t="s">
        <v>162</v>
      </c>
      <c r="D360" t="s">
        <v>57</v>
      </c>
      <c r="E360">
        <v>10</v>
      </c>
      <c r="F360">
        <v>2</v>
      </c>
      <c r="G360">
        <v>7.43</v>
      </c>
      <c r="H360">
        <v>2400</v>
      </c>
      <c r="I360">
        <v>17832</v>
      </c>
      <c r="J360">
        <v>2674.8</v>
      </c>
      <c r="K360">
        <v>20506.8</v>
      </c>
    </row>
    <row r="361" spans="1:11" x14ac:dyDescent="0.25">
      <c r="A361" s="1">
        <v>45838</v>
      </c>
      <c r="B361" t="s">
        <v>20</v>
      </c>
      <c r="C361" t="s">
        <v>84</v>
      </c>
      <c r="D361" t="s">
        <v>32</v>
      </c>
      <c r="E361">
        <v>19</v>
      </c>
      <c r="F361">
        <v>715</v>
      </c>
      <c r="G361">
        <v>715</v>
      </c>
      <c r="H361">
        <v>90</v>
      </c>
      <c r="I361">
        <v>64350</v>
      </c>
      <c r="J361">
        <v>9652.5</v>
      </c>
      <c r="K361">
        <v>74002.5</v>
      </c>
    </row>
    <row r="362" spans="1:11" x14ac:dyDescent="0.25">
      <c r="A362" s="1">
        <v>45838</v>
      </c>
      <c r="B362" t="s">
        <v>80</v>
      </c>
      <c r="C362" t="s">
        <v>163</v>
      </c>
      <c r="D362" t="s">
        <v>24</v>
      </c>
      <c r="E362">
        <v>17</v>
      </c>
      <c r="F362">
        <v>335</v>
      </c>
      <c r="G362">
        <v>335</v>
      </c>
      <c r="H362">
        <v>70</v>
      </c>
      <c r="I362">
        <v>23450</v>
      </c>
      <c r="J362">
        <v>3517.5</v>
      </c>
      <c r="K362">
        <v>26967.5</v>
      </c>
    </row>
    <row r="363" spans="1:11" x14ac:dyDescent="0.25">
      <c r="A363" s="1">
        <v>45838</v>
      </c>
      <c r="B363" t="s">
        <v>80</v>
      </c>
      <c r="C363" t="s">
        <v>38</v>
      </c>
      <c r="D363" t="s">
        <v>24</v>
      </c>
      <c r="E363">
        <v>17</v>
      </c>
      <c r="F363">
        <v>2257</v>
      </c>
      <c r="G363">
        <v>2251</v>
      </c>
      <c r="H363">
        <v>70</v>
      </c>
      <c r="I363">
        <v>157570</v>
      </c>
      <c r="J363">
        <v>23635.5</v>
      </c>
      <c r="K363">
        <v>181205.5</v>
      </c>
    </row>
    <row r="364" spans="1:11" x14ac:dyDescent="0.25">
      <c r="A364" s="1">
        <v>45841</v>
      </c>
      <c r="B364" t="s">
        <v>42</v>
      </c>
      <c r="C364" t="s">
        <v>99</v>
      </c>
      <c r="D364" t="s">
        <v>26</v>
      </c>
      <c r="E364">
        <v>11</v>
      </c>
      <c r="F364">
        <v>750</v>
      </c>
      <c r="G364">
        <v>750</v>
      </c>
      <c r="H364">
        <v>70</v>
      </c>
      <c r="I364">
        <v>52500</v>
      </c>
      <c r="J364">
        <v>7875</v>
      </c>
      <c r="K364">
        <v>60375</v>
      </c>
    </row>
    <row r="365" spans="1:11" x14ac:dyDescent="0.25">
      <c r="A365" s="1">
        <v>45855</v>
      </c>
      <c r="B365" t="s">
        <v>42</v>
      </c>
      <c r="C365" t="s">
        <v>121</v>
      </c>
      <c r="D365" t="s">
        <v>26</v>
      </c>
      <c r="E365">
        <v>6</v>
      </c>
      <c r="F365">
        <v>1174</v>
      </c>
      <c r="G365">
        <v>1174</v>
      </c>
      <c r="H365">
        <v>70</v>
      </c>
      <c r="I365">
        <v>82180</v>
      </c>
      <c r="J365">
        <v>12327</v>
      </c>
      <c r="K365">
        <v>94507</v>
      </c>
    </row>
    <row r="366" spans="1:11" x14ac:dyDescent="0.25">
      <c r="A366" s="1">
        <v>45838</v>
      </c>
      <c r="B366" t="s">
        <v>70</v>
      </c>
      <c r="C366" t="s">
        <v>49</v>
      </c>
      <c r="D366" t="s">
        <v>11</v>
      </c>
      <c r="E366">
        <v>1</v>
      </c>
      <c r="F366">
        <v>3439</v>
      </c>
      <c r="G366">
        <v>3439</v>
      </c>
      <c r="H366">
        <v>90</v>
      </c>
      <c r="I366">
        <v>309510</v>
      </c>
      <c r="J366">
        <v>46426.5</v>
      </c>
      <c r="K366">
        <v>355936.5</v>
      </c>
    </row>
    <row r="367" spans="1:11" x14ac:dyDescent="0.25">
      <c r="A367" s="1">
        <v>45838</v>
      </c>
      <c r="B367" t="s">
        <v>12</v>
      </c>
      <c r="C367" t="s">
        <v>43</v>
      </c>
      <c r="D367" t="s">
        <v>32</v>
      </c>
      <c r="E367">
        <v>9</v>
      </c>
      <c r="F367">
        <v>1</v>
      </c>
      <c r="G367">
        <v>22.09</v>
      </c>
      <c r="H367">
        <v>15000</v>
      </c>
      <c r="I367">
        <v>331350</v>
      </c>
      <c r="J367">
        <v>49702.5</v>
      </c>
      <c r="K367">
        <v>381052.5</v>
      </c>
    </row>
    <row r="368" spans="1:11" x14ac:dyDescent="0.25">
      <c r="A368" s="1">
        <v>45838</v>
      </c>
      <c r="B368" t="s">
        <v>131</v>
      </c>
      <c r="C368" t="s">
        <v>145</v>
      </c>
      <c r="D368" t="s">
        <v>24</v>
      </c>
      <c r="E368">
        <v>10</v>
      </c>
      <c r="F368">
        <v>1</v>
      </c>
      <c r="G368">
        <v>10</v>
      </c>
      <c r="H368">
        <v>3000</v>
      </c>
      <c r="I368">
        <v>30000</v>
      </c>
      <c r="J368">
        <v>4500</v>
      </c>
      <c r="K368">
        <v>34500</v>
      </c>
    </row>
    <row r="369" spans="1:11" x14ac:dyDescent="0.25">
      <c r="A369" s="1">
        <v>45838</v>
      </c>
      <c r="B369" t="s">
        <v>164</v>
      </c>
      <c r="C369" t="s">
        <v>165</v>
      </c>
      <c r="D369" t="s">
        <v>17</v>
      </c>
      <c r="E369">
        <v>3</v>
      </c>
      <c r="F369">
        <v>20</v>
      </c>
      <c r="G369">
        <v>20</v>
      </c>
      <c r="H369">
        <v>500</v>
      </c>
      <c r="I369">
        <v>10000</v>
      </c>
      <c r="J369">
        <v>1500</v>
      </c>
      <c r="K369">
        <v>11500</v>
      </c>
    </row>
    <row r="370" spans="1:11" x14ac:dyDescent="0.25">
      <c r="A370" s="1">
        <v>45839</v>
      </c>
      <c r="B370" t="s">
        <v>70</v>
      </c>
      <c r="C370" t="s">
        <v>47</v>
      </c>
      <c r="D370" t="s">
        <v>27</v>
      </c>
      <c r="E370">
        <v>4</v>
      </c>
      <c r="F370">
        <v>1597</v>
      </c>
      <c r="G370">
        <v>1597</v>
      </c>
      <c r="H370">
        <v>90</v>
      </c>
      <c r="I370">
        <v>143730</v>
      </c>
      <c r="J370">
        <v>21559.5</v>
      </c>
      <c r="K370">
        <v>165289.5</v>
      </c>
    </row>
    <row r="371" spans="1:11" x14ac:dyDescent="0.25">
      <c r="A371" s="1">
        <v>45839</v>
      </c>
      <c r="B371" t="s">
        <v>80</v>
      </c>
      <c r="C371" t="s">
        <v>140</v>
      </c>
      <c r="D371" t="s">
        <v>22</v>
      </c>
      <c r="E371">
        <v>8</v>
      </c>
      <c r="F371">
        <v>2000</v>
      </c>
      <c r="G371">
        <v>2000</v>
      </c>
      <c r="H371">
        <v>70</v>
      </c>
      <c r="I371">
        <v>140000</v>
      </c>
      <c r="J371">
        <v>21000</v>
      </c>
      <c r="K371">
        <v>161000</v>
      </c>
    </row>
    <row r="372" spans="1:11" x14ac:dyDescent="0.25">
      <c r="A372" s="1">
        <v>45839</v>
      </c>
      <c r="B372" t="s">
        <v>36</v>
      </c>
      <c r="C372" t="s">
        <v>86</v>
      </c>
      <c r="D372" t="s">
        <v>32</v>
      </c>
      <c r="E372">
        <v>36</v>
      </c>
      <c r="F372">
        <v>64</v>
      </c>
      <c r="G372">
        <v>20</v>
      </c>
      <c r="H372">
        <v>2400</v>
      </c>
      <c r="I372">
        <v>48000</v>
      </c>
      <c r="J372">
        <v>7200</v>
      </c>
      <c r="K372">
        <v>55200</v>
      </c>
    </row>
    <row r="373" spans="1:11" x14ac:dyDescent="0.25">
      <c r="A373" s="1">
        <v>45839</v>
      </c>
      <c r="B373" t="s">
        <v>80</v>
      </c>
      <c r="C373" t="s">
        <v>81</v>
      </c>
      <c r="D373" t="s">
        <v>17</v>
      </c>
      <c r="E373">
        <v>6</v>
      </c>
      <c r="F373">
        <v>33</v>
      </c>
      <c r="G373">
        <v>1637</v>
      </c>
      <c r="H373">
        <v>70</v>
      </c>
      <c r="I373">
        <v>114590</v>
      </c>
      <c r="J373">
        <v>17188.5</v>
      </c>
      <c r="K373">
        <v>131778.5</v>
      </c>
    </row>
    <row r="374" spans="1:11" x14ac:dyDescent="0.25">
      <c r="A374" s="1">
        <v>45840</v>
      </c>
      <c r="B374" t="s">
        <v>42</v>
      </c>
      <c r="C374" t="s">
        <v>81</v>
      </c>
      <c r="D374" t="s">
        <v>17</v>
      </c>
      <c r="E374">
        <v>10</v>
      </c>
      <c r="F374">
        <v>1001</v>
      </c>
      <c r="G374">
        <v>1001</v>
      </c>
      <c r="H374">
        <v>70</v>
      </c>
      <c r="I374">
        <v>70070</v>
      </c>
      <c r="J374">
        <v>10510.5</v>
      </c>
      <c r="K374">
        <v>80580.5</v>
      </c>
    </row>
    <row r="375" spans="1:11" x14ac:dyDescent="0.25">
      <c r="A375" s="1">
        <v>45839</v>
      </c>
      <c r="B375" t="s">
        <v>12</v>
      </c>
      <c r="C375" t="s">
        <v>166</v>
      </c>
      <c r="D375" t="s">
        <v>17</v>
      </c>
      <c r="E375">
        <v>5</v>
      </c>
      <c r="F375">
        <v>12</v>
      </c>
      <c r="G375">
        <v>13.53</v>
      </c>
      <c r="H375">
        <v>20000</v>
      </c>
      <c r="I375">
        <v>270600</v>
      </c>
      <c r="J375">
        <v>40590</v>
      </c>
      <c r="K375">
        <v>311190</v>
      </c>
    </row>
    <row r="376" spans="1:11" x14ac:dyDescent="0.25">
      <c r="A376" s="1">
        <v>45839</v>
      </c>
      <c r="B376" t="s">
        <v>80</v>
      </c>
      <c r="C376" t="s">
        <v>140</v>
      </c>
      <c r="D376" t="s">
        <v>59</v>
      </c>
      <c r="E376">
        <v>12</v>
      </c>
      <c r="F376">
        <v>764</v>
      </c>
      <c r="G376">
        <v>2000</v>
      </c>
      <c r="H376">
        <v>70</v>
      </c>
      <c r="I376">
        <v>140000</v>
      </c>
      <c r="J376">
        <v>21000</v>
      </c>
      <c r="K376">
        <v>161000</v>
      </c>
    </row>
    <row r="377" spans="1:11" x14ac:dyDescent="0.25">
      <c r="A377" s="1">
        <v>45839</v>
      </c>
      <c r="B377" t="s">
        <v>44</v>
      </c>
      <c r="C377" t="s">
        <v>56</v>
      </c>
      <c r="D377" t="s">
        <v>108</v>
      </c>
      <c r="E377">
        <v>5</v>
      </c>
      <c r="F377">
        <v>1100</v>
      </c>
      <c r="G377">
        <v>1100</v>
      </c>
      <c r="H377">
        <v>70</v>
      </c>
      <c r="I377">
        <v>77000</v>
      </c>
      <c r="J377">
        <v>11550</v>
      </c>
      <c r="K377">
        <v>88550</v>
      </c>
    </row>
    <row r="378" spans="1:11" x14ac:dyDescent="0.25">
      <c r="A378" s="1">
        <v>45839</v>
      </c>
      <c r="B378" t="s">
        <v>44</v>
      </c>
      <c r="C378" t="s">
        <v>45</v>
      </c>
      <c r="D378" t="s">
        <v>88</v>
      </c>
      <c r="E378">
        <v>4</v>
      </c>
      <c r="F378">
        <v>1598</v>
      </c>
      <c r="G378">
        <v>1598</v>
      </c>
      <c r="H378">
        <v>70</v>
      </c>
      <c r="I378">
        <v>111860</v>
      </c>
      <c r="J378">
        <v>16779</v>
      </c>
      <c r="K378">
        <v>128639</v>
      </c>
    </row>
    <row r="379" spans="1:11" x14ac:dyDescent="0.25">
      <c r="A379" s="1">
        <v>45840</v>
      </c>
      <c r="B379" t="s">
        <v>42</v>
      </c>
      <c r="C379" t="s">
        <v>23</v>
      </c>
      <c r="D379" t="s">
        <v>17</v>
      </c>
      <c r="E379">
        <v>12</v>
      </c>
      <c r="F379">
        <v>1218</v>
      </c>
      <c r="G379">
        <v>1218</v>
      </c>
      <c r="H379">
        <v>70</v>
      </c>
      <c r="I379">
        <v>85260</v>
      </c>
      <c r="J379">
        <v>12789</v>
      </c>
      <c r="K379">
        <v>98049</v>
      </c>
    </row>
    <row r="380" spans="1:11" x14ac:dyDescent="0.25">
      <c r="A380" s="1">
        <v>45840</v>
      </c>
      <c r="B380" t="s">
        <v>42</v>
      </c>
      <c r="C380" t="s">
        <v>23</v>
      </c>
      <c r="D380" t="s">
        <v>32</v>
      </c>
      <c r="E380">
        <v>11</v>
      </c>
      <c r="F380">
        <v>660</v>
      </c>
      <c r="G380">
        <v>660</v>
      </c>
      <c r="H380">
        <v>70</v>
      </c>
      <c r="I380">
        <v>46200</v>
      </c>
      <c r="J380">
        <v>6930</v>
      </c>
      <c r="K380">
        <v>53130</v>
      </c>
    </row>
    <row r="381" spans="1:11" x14ac:dyDescent="0.25">
      <c r="A381" s="1">
        <v>45856</v>
      </c>
      <c r="B381" t="s">
        <v>42</v>
      </c>
      <c r="C381" t="s">
        <v>86</v>
      </c>
      <c r="D381" t="s">
        <v>26</v>
      </c>
      <c r="E381">
        <v>3</v>
      </c>
      <c r="F381">
        <v>1067</v>
      </c>
      <c r="G381">
        <v>1067</v>
      </c>
      <c r="H381">
        <v>70</v>
      </c>
      <c r="I381">
        <v>74690</v>
      </c>
      <c r="J381">
        <v>11203.5</v>
      </c>
      <c r="K381">
        <v>85893.5</v>
      </c>
    </row>
    <row r="382" spans="1:11" x14ac:dyDescent="0.25">
      <c r="A382" s="1">
        <v>45839</v>
      </c>
      <c r="B382" t="s">
        <v>20</v>
      </c>
      <c r="C382" t="s">
        <v>72</v>
      </c>
      <c r="D382" t="s">
        <v>26</v>
      </c>
      <c r="E382">
        <v>6</v>
      </c>
      <c r="F382">
        <v>28</v>
      </c>
      <c r="G382">
        <v>28</v>
      </c>
      <c r="H382">
        <v>90</v>
      </c>
      <c r="I382">
        <v>2520</v>
      </c>
      <c r="J382">
        <v>378</v>
      </c>
      <c r="K382">
        <v>2898</v>
      </c>
    </row>
    <row r="383" spans="1:11" x14ac:dyDescent="0.25">
      <c r="A383" s="1">
        <v>45839</v>
      </c>
      <c r="B383" t="s">
        <v>39</v>
      </c>
      <c r="C383" t="s">
        <v>78</v>
      </c>
      <c r="D383" t="s">
        <v>27</v>
      </c>
      <c r="E383">
        <v>5</v>
      </c>
      <c r="F383">
        <v>3</v>
      </c>
      <c r="G383">
        <v>3</v>
      </c>
      <c r="H383">
        <v>2500</v>
      </c>
      <c r="I383">
        <v>7500</v>
      </c>
      <c r="J383">
        <v>1125</v>
      </c>
      <c r="K383">
        <v>8625</v>
      </c>
    </row>
    <row r="384" spans="1:11" x14ac:dyDescent="0.25">
      <c r="A384" s="1">
        <v>45839</v>
      </c>
      <c r="B384" t="s">
        <v>65</v>
      </c>
      <c r="C384" t="s">
        <v>29</v>
      </c>
      <c r="D384" t="s">
        <v>32</v>
      </c>
      <c r="E384">
        <v>2</v>
      </c>
      <c r="F384">
        <v>35</v>
      </c>
      <c r="G384">
        <v>35</v>
      </c>
      <c r="H384">
        <v>70</v>
      </c>
      <c r="I384">
        <v>2450</v>
      </c>
      <c r="J384">
        <v>367.5</v>
      </c>
      <c r="K384">
        <v>2817.5</v>
      </c>
    </row>
    <row r="385" spans="1:11" x14ac:dyDescent="0.25">
      <c r="A385" s="1">
        <v>45839</v>
      </c>
      <c r="B385" t="s">
        <v>20</v>
      </c>
      <c r="C385" t="s">
        <v>72</v>
      </c>
      <c r="D385" t="s">
        <v>27</v>
      </c>
      <c r="E385">
        <v>12</v>
      </c>
      <c r="F385">
        <v>74</v>
      </c>
      <c r="G385">
        <v>74</v>
      </c>
      <c r="H385">
        <v>90</v>
      </c>
      <c r="I385">
        <v>6660</v>
      </c>
      <c r="J385">
        <v>999</v>
      </c>
      <c r="K385">
        <v>7659</v>
      </c>
    </row>
    <row r="386" spans="1:11" x14ac:dyDescent="0.25">
      <c r="A386" s="1">
        <v>45839</v>
      </c>
      <c r="B386" t="s">
        <v>70</v>
      </c>
      <c r="C386" t="s">
        <v>159</v>
      </c>
      <c r="D386" t="s">
        <v>27</v>
      </c>
      <c r="E386">
        <v>3</v>
      </c>
      <c r="F386">
        <v>1775</v>
      </c>
      <c r="G386">
        <v>1775</v>
      </c>
      <c r="H386">
        <v>90</v>
      </c>
      <c r="I386">
        <v>159750</v>
      </c>
      <c r="J386">
        <v>23962.5</v>
      </c>
      <c r="K386">
        <v>183712.5</v>
      </c>
    </row>
    <row r="387" spans="1:11" x14ac:dyDescent="0.25">
      <c r="A387" s="1">
        <v>45839</v>
      </c>
      <c r="B387" t="s">
        <v>70</v>
      </c>
      <c r="C387" t="s">
        <v>114</v>
      </c>
      <c r="D387" t="s">
        <v>26</v>
      </c>
      <c r="E387">
        <v>15</v>
      </c>
      <c r="F387">
        <v>2390</v>
      </c>
      <c r="G387">
        <v>2390</v>
      </c>
      <c r="H387">
        <v>90</v>
      </c>
      <c r="I387">
        <v>215100</v>
      </c>
      <c r="J387">
        <v>32265</v>
      </c>
      <c r="K387">
        <v>247365</v>
      </c>
    </row>
    <row r="388" spans="1:11" x14ac:dyDescent="0.25">
      <c r="A388" s="1">
        <v>45839</v>
      </c>
      <c r="B388" t="s">
        <v>167</v>
      </c>
      <c r="C388" t="s">
        <v>67</v>
      </c>
      <c r="D388" t="s">
        <v>24</v>
      </c>
      <c r="E388">
        <v>2</v>
      </c>
      <c r="F388">
        <v>0</v>
      </c>
      <c r="G388">
        <v>2</v>
      </c>
      <c r="H388">
        <v>2500</v>
      </c>
      <c r="I388">
        <v>5000</v>
      </c>
      <c r="J388">
        <v>750</v>
      </c>
      <c r="K388">
        <v>5750</v>
      </c>
    </row>
    <row r="389" spans="1:11" x14ac:dyDescent="0.25">
      <c r="A389" s="1">
        <v>45839</v>
      </c>
      <c r="B389" t="s">
        <v>20</v>
      </c>
      <c r="C389" t="s">
        <v>40</v>
      </c>
      <c r="D389" t="s">
        <v>32</v>
      </c>
      <c r="E389">
        <v>4</v>
      </c>
      <c r="F389">
        <v>205</v>
      </c>
      <c r="G389">
        <v>205</v>
      </c>
      <c r="H389">
        <v>90</v>
      </c>
      <c r="I389">
        <v>18450</v>
      </c>
      <c r="J389">
        <v>2767.5</v>
      </c>
      <c r="K389">
        <v>21217.5</v>
      </c>
    </row>
    <row r="390" spans="1:11" x14ac:dyDescent="0.25">
      <c r="A390" s="1">
        <v>45839</v>
      </c>
      <c r="B390" t="s">
        <v>80</v>
      </c>
      <c r="C390" t="s">
        <v>140</v>
      </c>
      <c r="D390" t="s">
        <v>17</v>
      </c>
      <c r="E390">
        <v>3</v>
      </c>
      <c r="F390">
        <v>564</v>
      </c>
      <c r="G390">
        <v>1000</v>
      </c>
      <c r="H390">
        <v>70</v>
      </c>
      <c r="I390">
        <v>70000</v>
      </c>
      <c r="J390">
        <v>10500</v>
      </c>
      <c r="K390">
        <v>80500</v>
      </c>
    </row>
    <row r="391" spans="1:11" x14ac:dyDescent="0.25">
      <c r="A391" s="1">
        <v>45839</v>
      </c>
      <c r="B391" t="s">
        <v>164</v>
      </c>
      <c r="C391" t="s">
        <v>155</v>
      </c>
      <c r="D391" t="s">
        <v>17</v>
      </c>
      <c r="E391">
        <v>3</v>
      </c>
      <c r="F391">
        <v>20</v>
      </c>
      <c r="G391">
        <v>20</v>
      </c>
      <c r="H391">
        <v>500</v>
      </c>
      <c r="I391">
        <v>10000</v>
      </c>
      <c r="J391">
        <v>1500</v>
      </c>
      <c r="K391">
        <v>11500</v>
      </c>
    </row>
    <row r="392" spans="1:11" x14ac:dyDescent="0.25">
      <c r="A392" s="1">
        <v>45840</v>
      </c>
      <c r="B392" t="s">
        <v>42</v>
      </c>
      <c r="C392" t="s">
        <v>23</v>
      </c>
      <c r="D392" t="s">
        <v>27</v>
      </c>
      <c r="E392">
        <v>6</v>
      </c>
      <c r="F392">
        <v>30</v>
      </c>
      <c r="G392">
        <v>30</v>
      </c>
      <c r="H392">
        <v>70</v>
      </c>
      <c r="I392">
        <v>2100</v>
      </c>
      <c r="J392">
        <v>315</v>
      </c>
      <c r="K392">
        <v>2415</v>
      </c>
    </row>
    <row r="393" spans="1:11" x14ac:dyDescent="0.25">
      <c r="A393" s="1">
        <v>45839</v>
      </c>
      <c r="B393" t="s">
        <v>20</v>
      </c>
      <c r="C393" t="s">
        <v>40</v>
      </c>
      <c r="D393" t="s">
        <v>24</v>
      </c>
      <c r="E393">
        <v>8</v>
      </c>
      <c r="F393">
        <v>686</v>
      </c>
      <c r="G393">
        <v>686</v>
      </c>
      <c r="H393">
        <v>90</v>
      </c>
      <c r="I393">
        <v>61740</v>
      </c>
      <c r="J393">
        <v>9261</v>
      </c>
      <c r="K393">
        <v>71001</v>
      </c>
    </row>
    <row r="394" spans="1:11" x14ac:dyDescent="0.25">
      <c r="A394" s="1">
        <v>45854</v>
      </c>
      <c r="B394" t="s">
        <v>44</v>
      </c>
      <c r="C394" t="s">
        <v>50</v>
      </c>
      <c r="D394" t="s">
        <v>32</v>
      </c>
      <c r="E394">
        <v>5</v>
      </c>
      <c r="F394">
        <v>291</v>
      </c>
      <c r="G394">
        <v>675</v>
      </c>
      <c r="H394">
        <v>70</v>
      </c>
      <c r="I394">
        <v>47250</v>
      </c>
      <c r="J394">
        <v>7087.5</v>
      </c>
      <c r="K394">
        <v>54337.5</v>
      </c>
    </row>
    <row r="395" spans="1:11" x14ac:dyDescent="0.25">
      <c r="A395" s="1">
        <v>45839</v>
      </c>
      <c r="B395" t="s">
        <v>167</v>
      </c>
      <c r="C395" t="s">
        <v>43</v>
      </c>
      <c r="D395" t="s">
        <v>24</v>
      </c>
      <c r="E395">
        <v>1</v>
      </c>
      <c r="F395">
        <v>0</v>
      </c>
      <c r="G395">
        <v>1</v>
      </c>
      <c r="H395">
        <v>2500</v>
      </c>
      <c r="I395">
        <v>2500</v>
      </c>
      <c r="J395">
        <v>375</v>
      </c>
      <c r="K395">
        <v>2875</v>
      </c>
    </row>
    <row r="396" spans="1:11" x14ac:dyDescent="0.25">
      <c r="A396" s="1">
        <v>45840</v>
      </c>
      <c r="B396" t="s">
        <v>42</v>
      </c>
      <c r="C396" t="s">
        <v>23</v>
      </c>
      <c r="D396" t="s">
        <v>19</v>
      </c>
      <c r="E396">
        <v>8</v>
      </c>
      <c r="F396">
        <v>37</v>
      </c>
      <c r="G396">
        <v>37</v>
      </c>
      <c r="H396">
        <v>70</v>
      </c>
      <c r="I396">
        <v>2590</v>
      </c>
      <c r="J396">
        <v>388.5</v>
      </c>
      <c r="K396">
        <v>2978.5</v>
      </c>
    </row>
    <row r="397" spans="1:11" x14ac:dyDescent="0.25">
      <c r="A397" s="1">
        <v>45839</v>
      </c>
      <c r="B397" t="s">
        <v>36</v>
      </c>
      <c r="C397" t="s">
        <v>129</v>
      </c>
      <c r="D397" t="s">
        <v>19</v>
      </c>
      <c r="E397">
        <v>5</v>
      </c>
      <c r="F397">
        <v>6</v>
      </c>
      <c r="G397">
        <v>6.22</v>
      </c>
      <c r="H397">
        <v>2400</v>
      </c>
      <c r="I397">
        <v>14928</v>
      </c>
      <c r="J397">
        <v>2239.1999999999998</v>
      </c>
      <c r="K397">
        <v>17167.2</v>
      </c>
    </row>
    <row r="398" spans="1:11" x14ac:dyDescent="0.25">
      <c r="A398" s="1">
        <v>45839</v>
      </c>
      <c r="B398" t="s">
        <v>12</v>
      </c>
      <c r="C398" t="s">
        <v>86</v>
      </c>
      <c r="D398" t="s">
        <v>24</v>
      </c>
      <c r="E398">
        <v>4</v>
      </c>
      <c r="G398">
        <v>5.9</v>
      </c>
      <c r="H398">
        <v>20000</v>
      </c>
      <c r="I398">
        <v>118000</v>
      </c>
      <c r="J398">
        <v>17700</v>
      </c>
      <c r="K398">
        <v>135700</v>
      </c>
    </row>
    <row r="399" spans="1:11" x14ac:dyDescent="0.25">
      <c r="A399" s="1">
        <v>45839</v>
      </c>
      <c r="B399" t="s">
        <v>70</v>
      </c>
      <c r="C399" t="s">
        <v>109</v>
      </c>
      <c r="D399" t="s">
        <v>27</v>
      </c>
      <c r="E399">
        <v>4</v>
      </c>
      <c r="F399">
        <v>2504</v>
      </c>
      <c r="G399">
        <v>2504</v>
      </c>
      <c r="H399">
        <v>90</v>
      </c>
      <c r="I399">
        <v>225360</v>
      </c>
      <c r="J399">
        <v>33804</v>
      </c>
      <c r="K399">
        <v>259164</v>
      </c>
    </row>
    <row r="400" spans="1:11" x14ac:dyDescent="0.25">
      <c r="A400" s="1">
        <v>45839</v>
      </c>
      <c r="B400" t="s">
        <v>20</v>
      </c>
      <c r="C400" t="s">
        <v>84</v>
      </c>
      <c r="D400" t="s">
        <v>22</v>
      </c>
      <c r="E400">
        <v>6</v>
      </c>
      <c r="F400">
        <v>500</v>
      </c>
      <c r="G400">
        <v>500</v>
      </c>
      <c r="H400">
        <v>90</v>
      </c>
      <c r="I400">
        <v>45000</v>
      </c>
      <c r="J400">
        <v>6750</v>
      </c>
      <c r="K400">
        <v>51750</v>
      </c>
    </row>
    <row r="401" spans="1:11" x14ac:dyDescent="0.25">
      <c r="A401" s="1">
        <v>45839</v>
      </c>
      <c r="B401" t="s">
        <v>20</v>
      </c>
      <c r="C401" t="s">
        <v>84</v>
      </c>
      <c r="D401" t="s">
        <v>17</v>
      </c>
      <c r="E401">
        <v>7</v>
      </c>
      <c r="F401">
        <v>17</v>
      </c>
      <c r="G401">
        <v>17</v>
      </c>
      <c r="H401">
        <v>90</v>
      </c>
      <c r="I401">
        <v>1530</v>
      </c>
      <c r="J401">
        <v>229.5</v>
      </c>
      <c r="K401">
        <v>1759.5</v>
      </c>
    </row>
    <row r="402" spans="1:11" x14ac:dyDescent="0.25">
      <c r="A402" s="1">
        <v>45839</v>
      </c>
      <c r="B402" t="s">
        <v>20</v>
      </c>
      <c r="C402" t="s">
        <v>84</v>
      </c>
      <c r="D402" t="s">
        <v>26</v>
      </c>
      <c r="E402">
        <v>1</v>
      </c>
      <c r="F402">
        <v>1060</v>
      </c>
      <c r="G402">
        <v>1060</v>
      </c>
      <c r="H402">
        <v>90</v>
      </c>
      <c r="I402">
        <v>95400</v>
      </c>
      <c r="J402">
        <v>14310</v>
      </c>
      <c r="K402">
        <v>109710</v>
      </c>
    </row>
    <row r="403" spans="1:11" x14ac:dyDescent="0.25">
      <c r="A403" s="1">
        <v>45840</v>
      </c>
      <c r="B403" t="s">
        <v>42</v>
      </c>
      <c r="C403" t="s">
        <v>25</v>
      </c>
      <c r="D403" t="s">
        <v>17</v>
      </c>
      <c r="E403">
        <v>12</v>
      </c>
      <c r="F403">
        <v>457</v>
      </c>
      <c r="G403">
        <v>457</v>
      </c>
      <c r="H403">
        <v>70</v>
      </c>
      <c r="I403">
        <v>31990</v>
      </c>
      <c r="J403">
        <v>4798.5</v>
      </c>
      <c r="K403">
        <v>36788.5</v>
      </c>
    </row>
    <row r="404" spans="1:11" x14ac:dyDescent="0.25">
      <c r="A404" s="1">
        <v>45839</v>
      </c>
      <c r="B404" t="s">
        <v>154</v>
      </c>
      <c r="C404" t="s">
        <v>148</v>
      </c>
      <c r="D404" t="s">
        <v>11</v>
      </c>
      <c r="E404">
        <v>9</v>
      </c>
      <c r="F404">
        <v>1</v>
      </c>
      <c r="G404">
        <v>9</v>
      </c>
      <c r="H404" s="2">
        <v>3000</v>
      </c>
      <c r="I404">
        <v>27000</v>
      </c>
      <c r="J404">
        <v>4050</v>
      </c>
      <c r="K404">
        <v>31050</v>
      </c>
    </row>
    <row r="405" spans="1:11" x14ac:dyDescent="0.25">
      <c r="A405" s="1">
        <v>45839</v>
      </c>
      <c r="B405" t="s">
        <v>168</v>
      </c>
      <c r="C405" t="s">
        <v>81</v>
      </c>
      <c r="D405" t="s">
        <v>63</v>
      </c>
      <c r="E405">
        <v>5</v>
      </c>
      <c r="F405">
        <v>1</v>
      </c>
      <c r="G405">
        <v>2.66</v>
      </c>
      <c r="H405">
        <v>3500</v>
      </c>
      <c r="I405">
        <v>9310</v>
      </c>
      <c r="J405">
        <v>1396.5</v>
      </c>
      <c r="K405">
        <v>10706.5</v>
      </c>
    </row>
    <row r="406" spans="1:11" x14ac:dyDescent="0.25">
      <c r="A406" s="1">
        <v>45839</v>
      </c>
      <c r="B406" t="s">
        <v>154</v>
      </c>
      <c r="C406" t="s">
        <v>169</v>
      </c>
      <c r="D406" t="s">
        <v>11</v>
      </c>
      <c r="E406">
        <v>9</v>
      </c>
      <c r="F406">
        <v>1</v>
      </c>
      <c r="G406">
        <v>9</v>
      </c>
      <c r="H406" s="2">
        <v>3000</v>
      </c>
      <c r="I406">
        <v>27000</v>
      </c>
      <c r="J406">
        <v>4050</v>
      </c>
      <c r="K406">
        <v>31050</v>
      </c>
    </row>
    <row r="407" spans="1:11" x14ac:dyDescent="0.25">
      <c r="A407" s="1">
        <v>45839</v>
      </c>
      <c r="B407" t="s">
        <v>131</v>
      </c>
      <c r="C407" t="s">
        <v>165</v>
      </c>
      <c r="D407" t="s">
        <v>26</v>
      </c>
      <c r="E407">
        <v>15</v>
      </c>
      <c r="F407">
        <v>3</v>
      </c>
      <c r="G407">
        <v>15</v>
      </c>
      <c r="H407">
        <v>3000</v>
      </c>
      <c r="I407">
        <v>45000</v>
      </c>
      <c r="J407">
        <v>6750</v>
      </c>
      <c r="K407">
        <v>51750</v>
      </c>
    </row>
    <row r="408" spans="1:11" x14ac:dyDescent="0.25">
      <c r="A408" s="1">
        <v>45839</v>
      </c>
      <c r="B408" t="s">
        <v>154</v>
      </c>
      <c r="C408" t="s">
        <v>170</v>
      </c>
      <c r="D408" t="s">
        <v>11</v>
      </c>
      <c r="E408">
        <v>9</v>
      </c>
      <c r="F408">
        <v>1</v>
      </c>
      <c r="G408">
        <v>9</v>
      </c>
      <c r="H408" s="2">
        <v>3000</v>
      </c>
      <c r="I408">
        <v>27000</v>
      </c>
      <c r="J408">
        <v>4050</v>
      </c>
      <c r="K408">
        <v>31050</v>
      </c>
    </row>
    <row r="409" spans="1:11" x14ac:dyDescent="0.25">
      <c r="A409" s="1">
        <v>45839</v>
      </c>
      <c r="B409" t="s">
        <v>92</v>
      </c>
      <c r="C409" t="s">
        <v>171</v>
      </c>
      <c r="D409" t="s">
        <v>19</v>
      </c>
      <c r="E409">
        <v>5</v>
      </c>
      <c r="F409">
        <v>1</v>
      </c>
      <c r="G409">
        <v>5</v>
      </c>
      <c r="H409">
        <v>3000</v>
      </c>
      <c r="I409">
        <v>15000</v>
      </c>
      <c r="J409">
        <v>2250</v>
      </c>
      <c r="K409">
        <v>17250</v>
      </c>
    </row>
    <row r="410" spans="1:11" x14ac:dyDescent="0.25">
      <c r="A410" s="1">
        <v>45839</v>
      </c>
      <c r="B410" t="s">
        <v>172</v>
      </c>
      <c r="C410" t="s">
        <v>76</v>
      </c>
      <c r="D410" t="s">
        <v>26</v>
      </c>
      <c r="E410">
        <v>2</v>
      </c>
      <c r="F410">
        <v>206500</v>
      </c>
      <c r="G410">
        <v>206500</v>
      </c>
      <c r="H410">
        <v>3</v>
      </c>
      <c r="I410">
        <v>619500</v>
      </c>
      <c r="J410">
        <v>92925</v>
      </c>
      <c r="K410">
        <v>712425</v>
      </c>
    </row>
    <row r="411" spans="1:11" x14ac:dyDescent="0.25">
      <c r="A411" s="1">
        <v>45839</v>
      </c>
      <c r="B411" t="s">
        <v>164</v>
      </c>
      <c r="C411" t="s">
        <v>171</v>
      </c>
      <c r="D411" t="s">
        <v>63</v>
      </c>
      <c r="E411">
        <v>2</v>
      </c>
      <c r="F411">
        <v>58</v>
      </c>
      <c r="G411">
        <v>58</v>
      </c>
      <c r="H411">
        <v>500</v>
      </c>
      <c r="I411">
        <v>29000</v>
      </c>
      <c r="J411">
        <v>4350</v>
      </c>
      <c r="K411">
        <v>33350</v>
      </c>
    </row>
    <row r="412" spans="1:11" x14ac:dyDescent="0.25">
      <c r="A412" s="1">
        <v>45839</v>
      </c>
      <c r="B412" t="s">
        <v>60</v>
      </c>
      <c r="C412" t="s">
        <v>145</v>
      </c>
      <c r="D412" t="s">
        <v>57</v>
      </c>
      <c r="E412">
        <v>5</v>
      </c>
      <c r="F412">
        <v>11.78</v>
      </c>
      <c r="G412">
        <v>9.25</v>
      </c>
      <c r="H412">
        <v>2400</v>
      </c>
      <c r="I412">
        <v>22200</v>
      </c>
      <c r="J412">
        <v>3330</v>
      </c>
      <c r="K412">
        <v>25530</v>
      </c>
    </row>
    <row r="413" spans="1:11" x14ac:dyDescent="0.25">
      <c r="A413" s="1">
        <v>45839</v>
      </c>
      <c r="B413" t="s">
        <v>80</v>
      </c>
      <c r="C413" t="s">
        <v>165</v>
      </c>
      <c r="D413" t="s">
        <v>63</v>
      </c>
      <c r="E413">
        <v>6</v>
      </c>
      <c r="F413">
        <v>192</v>
      </c>
      <c r="G413">
        <v>192</v>
      </c>
      <c r="H413">
        <v>100</v>
      </c>
      <c r="I413">
        <v>19200</v>
      </c>
      <c r="J413">
        <v>2880</v>
      </c>
      <c r="K413">
        <v>22080</v>
      </c>
    </row>
    <row r="414" spans="1:11" x14ac:dyDescent="0.25">
      <c r="A414" s="1">
        <v>45840</v>
      </c>
      <c r="B414" t="s">
        <v>39</v>
      </c>
      <c r="C414" t="s">
        <v>107</v>
      </c>
      <c r="D414" t="s">
        <v>27</v>
      </c>
      <c r="E414">
        <v>2</v>
      </c>
      <c r="F414">
        <v>0</v>
      </c>
      <c r="G414">
        <v>2</v>
      </c>
      <c r="H414">
        <v>2500</v>
      </c>
      <c r="I414">
        <v>5000</v>
      </c>
      <c r="J414">
        <v>750</v>
      </c>
      <c r="K414">
        <v>5750</v>
      </c>
    </row>
    <row r="415" spans="1:11" x14ac:dyDescent="0.25">
      <c r="A415" s="1">
        <v>45838</v>
      </c>
      <c r="B415" t="s">
        <v>36</v>
      </c>
      <c r="C415" t="s">
        <v>84</v>
      </c>
      <c r="D415" t="s">
        <v>57</v>
      </c>
      <c r="E415">
        <v>2</v>
      </c>
      <c r="F415">
        <v>3</v>
      </c>
      <c r="G415">
        <v>5.0999999999999996</v>
      </c>
      <c r="H415">
        <v>2400</v>
      </c>
      <c r="I415">
        <v>12240</v>
      </c>
      <c r="J415">
        <v>1836</v>
      </c>
      <c r="K415">
        <v>14076</v>
      </c>
    </row>
    <row r="416" spans="1:11" x14ac:dyDescent="0.25">
      <c r="A416" s="1">
        <v>45838</v>
      </c>
      <c r="B416" t="s">
        <v>36</v>
      </c>
      <c r="C416" t="s">
        <v>23</v>
      </c>
      <c r="D416" t="s">
        <v>57</v>
      </c>
      <c r="E416">
        <v>5</v>
      </c>
      <c r="F416">
        <v>2</v>
      </c>
      <c r="G416">
        <v>5.88</v>
      </c>
      <c r="H416">
        <v>2400</v>
      </c>
      <c r="I416">
        <v>14112</v>
      </c>
      <c r="J416">
        <v>2116.8000000000002</v>
      </c>
      <c r="K416">
        <v>16228.8</v>
      </c>
    </row>
    <row r="417" spans="1:11" x14ac:dyDescent="0.25">
      <c r="A417" s="1">
        <v>45838</v>
      </c>
      <c r="B417" t="s">
        <v>36</v>
      </c>
      <c r="C417" t="s">
        <v>25</v>
      </c>
      <c r="D417" t="s">
        <v>57</v>
      </c>
      <c r="E417">
        <v>3</v>
      </c>
      <c r="F417">
        <v>3</v>
      </c>
      <c r="G417">
        <v>6</v>
      </c>
      <c r="H417">
        <v>2400</v>
      </c>
      <c r="I417">
        <v>14400</v>
      </c>
      <c r="J417">
        <v>2160</v>
      </c>
      <c r="K417">
        <v>16560</v>
      </c>
    </row>
    <row r="418" spans="1:11" x14ac:dyDescent="0.25">
      <c r="A418" s="1">
        <v>45838</v>
      </c>
      <c r="B418" t="s">
        <v>36</v>
      </c>
      <c r="C418" t="s">
        <v>111</v>
      </c>
      <c r="D418" t="s">
        <v>57</v>
      </c>
      <c r="E418">
        <v>4</v>
      </c>
      <c r="F418">
        <v>3</v>
      </c>
      <c r="G418">
        <v>10</v>
      </c>
      <c r="H418">
        <v>2400</v>
      </c>
      <c r="I418">
        <v>24000</v>
      </c>
      <c r="J418">
        <v>3600</v>
      </c>
      <c r="K418">
        <v>27600</v>
      </c>
    </row>
    <row r="419" spans="1:11" x14ac:dyDescent="0.25">
      <c r="A419" s="1">
        <v>45838</v>
      </c>
      <c r="B419" t="s">
        <v>36</v>
      </c>
      <c r="C419" t="s">
        <v>78</v>
      </c>
      <c r="D419" t="s">
        <v>57</v>
      </c>
      <c r="E419">
        <v>2</v>
      </c>
      <c r="F419">
        <v>4</v>
      </c>
      <c r="G419">
        <v>2.8</v>
      </c>
      <c r="H419">
        <v>2400</v>
      </c>
      <c r="I419">
        <v>6720</v>
      </c>
      <c r="J419">
        <v>1008</v>
      </c>
      <c r="K419">
        <v>7728</v>
      </c>
    </row>
    <row r="420" spans="1:11" x14ac:dyDescent="0.25">
      <c r="A420" s="1">
        <v>45838</v>
      </c>
      <c r="B420" t="s">
        <v>36</v>
      </c>
      <c r="C420" t="s">
        <v>173</v>
      </c>
      <c r="D420" t="s">
        <v>57</v>
      </c>
      <c r="E420">
        <v>7</v>
      </c>
      <c r="F420">
        <v>4</v>
      </c>
      <c r="G420">
        <v>20.66</v>
      </c>
      <c r="H420">
        <v>2400</v>
      </c>
      <c r="I420">
        <v>49584</v>
      </c>
      <c r="J420">
        <v>7437.6</v>
      </c>
      <c r="K420">
        <v>57021.599999999999</v>
      </c>
    </row>
    <row r="421" spans="1:11" x14ac:dyDescent="0.25">
      <c r="A421" s="1">
        <v>45838</v>
      </c>
      <c r="B421" t="s">
        <v>36</v>
      </c>
      <c r="C421" t="s">
        <v>29</v>
      </c>
      <c r="D421" t="s">
        <v>57</v>
      </c>
      <c r="E421">
        <v>3</v>
      </c>
      <c r="F421">
        <v>3</v>
      </c>
      <c r="G421">
        <v>10</v>
      </c>
      <c r="H421">
        <v>2400</v>
      </c>
      <c r="I421">
        <v>24000</v>
      </c>
      <c r="J421">
        <v>3600</v>
      </c>
      <c r="K421">
        <v>27600</v>
      </c>
    </row>
    <row r="422" spans="1:11" x14ac:dyDescent="0.25">
      <c r="A422" s="1">
        <v>45838</v>
      </c>
      <c r="B422" t="s">
        <v>36</v>
      </c>
      <c r="C422" t="s">
        <v>174</v>
      </c>
      <c r="D422" t="s">
        <v>57</v>
      </c>
      <c r="E422">
        <v>3</v>
      </c>
      <c r="F422">
        <v>6</v>
      </c>
      <c r="G422">
        <v>7.31</v>
      </c>
      <c r="H422">
        <v>2400</v>
      </c>
      <c r="I422">
        <v>17544</v>
      </c>
      <c r="J422">
        <v>2631.6</v>
      </c>
      <c r="K422">
        <v>20175.599999999999</v>
      </c>
    </row>
    <row r="423" spans="1:11" x14ac:dyDescent="0.25">
      <c r="A423" s="1">
        <v>45838</v>
      </c>
      <c r="B423" t="s">
        <v>36</v>
      </c>
      <c r="C423" t="s">
        <v>18</v>
      </c>
      <c r="D423" t="s">
        <v>57</v>
      </c>
      <c r="E423">
        <v>2</v>
      </c>
      <c r="F423">
        <v>4</v>
      </c>
      <c r="G423">
        <v>3</v>
      </c>
      <c r="H423">
        <v>2400</v>
      </c>
      <c r="I423">
        <v>7200</v>
      </c>
      <c r="J423">
        <v>1080</v>
      </c>
      <c r="K423">
        <v>8280</v>
      </c>
    </row>
    <row r="424" spans="1:11" x14ac:dyDescent="0.25">
      <c r="A424" s="1">
        <v>45838</v>
      </c>
      <c r="B424" t="s">
        <v>36</v>
      </c>
      <c r="C424" t="s">
        <v>175</v>
      </c>
      <c r="D424" t="s">
        <v>57</v>
      </c>
      <c r="E424">
        <v>6</v>
      </c>
      <c r="F424">
        <v>2</v>
      </c>
      <c r="G424">
        <v>3</v>
      </c>
      <c r="H424">
        <v>2400</v>
      </c>
      <c r="I424">
        <v>7200</v>
      </c>
      <c r="J424">
        <v>1080</v>
      </c>
      <c r="K424">
        <v>8280</v>
      </c>
    </row>
    <row r="425" spans="1:11" x14ac:dyDescent="0.25">
      <c r="A425" s="1">
        <v>45838</v>
      </c>
      <c r="B425" t="s">
        <v>36</v>
      </c>
      <c r="C425" t="s">
        <v>166</v>
      </c>
      <c r="D425" t="s">
        <v>57</v>
      </c>
      <c r="E425">
        <v>8</v>
      </c>
      <c r="F425">
        <v>1</v>
      </c>
      <c r="G425">
        <v>5.76</v>
      </c>
      <c r="H425">
        <v>2400</v>
      </c>
      <c r="I425">
        <v>13824</v>
      </c>
      <c r="J425">
        <v>2073.6</v>
      </c>
      <c r="K425">
        <v>15897.6</v>
      </c>
    </row>
    <row r="426" spans="1:11" x14ac:dyDescent="0.25">
      <c r="A426" s="1">
        <v>45838</v>
      </c>
      <c r="B426" t="s">
        <v>36</v>
      </c>
      <c r="C426" t="s">
        <v>165</v>
      </c>
      <c r="D426" t="s">
        <v>57</v>
      </c>
      <c r="E426">
        <v>1</v>
      </c>
      <c r="F426">
        <v>3</v>
      </c>
      <c r="G426">
        <v>3</v>
      </c>
      <c r="H426">
        <v>2400</v>
      </c>
      <c r="I426">
        <v>7200</v>
      </c>
      <c r="J426">
        <v>1080</v>
      </c>
      <c r="K426">
        <v>8280</v>
      </c>
    </row>
    <row r="427" spans="1:11" x14ac:dyDescent="0.25">
      <c r="A427" s="1">
        <v>45840</v>
      </c>
      <c r="B427" t="s">
        <v>36</v>
      </c>
      <c r="C427" t="s">
        <v>77</v>
      </c>
      <c r="D427" t="s">
        <v>57</v>
      </c>
      <c r="E427">
        <v>5</v>
      </c>
      <c r="F427">
        <v>4</v>
      </c>
      <c r="G427">
        <v>3</v>
      </c>
      <c r="H427">
        <v>2400</v>
      </c>
      <c r="I427">
        <v>7200</v>
      </c>
      <c r="J427">
        <v>1080</v>
      </c>
      <c r="K427">
        <v>8280</v>
      </c>
    </row>
    <row r="428" spans="1:11" x14ac:dyDescent="0.25">
      <c r="A428" s="1">
        <v>45840</v>
      </c>
      <c r="B428" t="s">
        <v>80</v>
      </c>
      <c r="C428" t="s">
        <v>163</v>
      </c>
      <c r="D428" t="s">
        <v>59</v>
      </c>
      <c r="E428">
        <v>7</v>
      </c>
      <c r="F428">
        <v>1075</v>
      </c>
      <c r="G428">
        <v>1075</v>
      </c>
      <c r="H428">
        <v>70</v>
      </c>
      <c r="I428">
        <v>75250</v>
      </c>
      <c r="J428">
        <v>11287.5</v>
      </c>
      <c r="K428">
        <v>86537.5</v>
      </c>
    </row>
    <row r="429" spans="1:11" x14ac:dyDescent="0.25">
      <c r="A429" s="1">
        <v>45840</v>
      </c>
      <c r="B429" t="s">
        <v>36</v>
      </c>
      <c r="C429" t="s">
        <v>176</v>
      </c>
      <c r="D429" t="s">
        <v>24</v>
      </c>
      <c r="E429">
        <v>8</v>
      </c>
      <c r="F429">
        <v>5</v>
      </c>
      <c r="G429">
        <v>25.25</v>
      </c>
      <c r="H429">
        <v>2400</v>
      </c>
      <c r="I429">
        <v>60600</v>
      </c>
      <c r="J429">
        <v>9090</v>
      </c>
      <c r="K429">
        <v>69690</v>
      </c>
    </row>
    <row r="430" spans="1:11" x14ac:dyDescent="0.25">
      <c r="A430" s="1">
        <v>45840</v>
      </c>
      <c r="B430" t="s">
        <v>12</v>
      </c>
      <c r="C430" t="s">
        <v>69</v>
      </c>
      <c r="D430" t="s">
        <v>57</v>
      </c>
      <c r="E430">
        <v>10</v>
      </c>
      <c r="F430">
        <v>1</v>
      </c>
      <c r="G430">
        <v>9.2899999999999991</v>
      </c>
      <c r="H430">
        <v>5000</v>
      </c>
      <c r="I430">
        <v>46450</v>
      </c>
      <c r="J430">
        <v>6967.5</v>
      </c>
      <c r="K430">
        <v>53417.5</v>
      </c>
    </row>
    <row r="431" spans="1:11" x14ac:dyDescent="0.25">
      <c r="A431" s="1">
        <v>45839</v>
      </c>
      <c r="B431" t="s">
        <v>92</v>
      </c>
      <c r="C431" t="s">
        <v>177</v>
      </c>
      <c r="D431" t="s">
        <v>19</v>
      </c>
      <c r="E431">
        <v>5</v>
      </c>
      <c r="F431">
        <v>1</v>
      </c>
      <c r="G431">
        <v>5</v>
      </c>
      <c r="H431">
        <v>3000</v>
      </c>
      <c r="I431">
        <v>15000</v>
      </c>
      <c r="J431">
        <v>2250</v>
      </c>
      <c r="K431">
        <v>17250</v>
      </c>
    </row>
    <row r="432" spans="1:11" x14ac:dyDescent="0.25">
      <c r="A432" s="1">
        <v>45839</v>
      </c>
      <c r="B432" t="s">
        <v>92</v>
      </c>
      <c r="C432" t="s">
        <v>178</v>
      </c>
      <c r="D432" t="s">
        <v>19</v>
      </c>
      <c r="E432">
        <v>5</v>
      </c>
      <c r="F432">
        <v>1</v>
      </c>
      <c r="G432">
        <v>5</v>
      </c>
      <c r="H432">
        <v>3000</v>
      </c>
      <c r="I432">
        <v>15000</v>
      </c>
      <c r="J432">
        <v>2250</v>
      </c>
      <c r="K432">
        <v>17250</v>
      </c>
    </row>
    <row r="433" spans="1:11" x14ac:dyDescent="0.25">
      <c r="A433" s="1">
        <v>45840</v>
      </c>
      <c r="B433" t="s">
        <v>92</v>
      </c>
      <c r="C433" t="s">
        <v>41</v>
      </c>
      <c r="D433" t="s">
        <v>19</v>
      </c>
      <c r="E433">
        <v>2</v>
      </c>
      <c r="F433">
        <v>1</v>
      </c>
      <c r="G433">
        <v>5</v>
      </c>
      <c r="H433">
        <v>3000</v>
      </c>
      <c r="I433">
        <v>15000</v>
      </c>
      <c r="J433">
        <v>2250</v>
      </c>
      <c r="K433">
        <v>17250</v>
      </c>
    </row>
    <row r="434" spans="1:11" x14ac:dyDescent="0.25">
      <c r="A434" s="1">
        <v>45840</v>
      </c>
      <c r="B434" t="s">
        <v>20</v>
      </c>
      <c r="C434" t="s">
        <v>81</v>
      </c>
      <c r="D434" t="s">
        <v>19</v>
      </c>
      <c r="E434">
        <v>6</v>
      </c>
      <c r="F434">
        <v>6</v>
      </c>
      <c r="G434">
        <v>6</v>
      </c>
      <c r="H434">
        <v>90</v>
      </c>
      <c r="I434">
        <v>540</v>
      </c>
      <c r="J434">
        <v>81</v>
      </c>
      <c r="K434">
        <v>621</v>
      </c>
    </row>
    <row r="435" spans="1:11" x14ac:dyDescent="0.25">
      <c r="A435" s="1">
        <v>45854</v>
      </c>
      <c r="B435" t="s">
        <v>20</v>
      </c>
      <c r="C435" t="s">
        <v>121</v>
      </c>
      <c r="D435" t="s">
        <v>19</v>
      </c>
      <c r="E435">
        <v>4</v>
      </c>
      <c r="F435">
        <v>6</v>
      </c>
      <c r="G435">
        <v>6</v>
      </c>
      <c r="H435">
        <v>90</v>
      </c>
      <c r="I435">
        <v>540</v>
      </c>
      <c r="J435">
        <v>81</v>
      </c>
      <c r="K435">
        <v>621</v>
      </c>
    </row>
    <row r="436" spans="1:11" x14ac:dyDescent="0.25">
      <c r="A436" s="1">
        <v>45857</v>
      </c>
      <c r="B436" t="s">
        <v>20</v>
      </c>
      <c r="C436" t="s">
        <v>86</v>
      </c>
      <c r="D436" t="s">
        <v>19</v>
      </c>
      <c r="E436">
        <v>4</v>
      </c>
      <c r="F436">
        <v>453</v>
      </c>
      <c r="G436">
        <v>453</v>
      </c>
      <c r="H436">
        <v>90</v>
      </c>
      <c r="I436">
        <v>40770</v>
      </c>
      <c r="J436">
        <v>6115.5</v>
      </c>
      <c r="K436">
        <v>46885.5</v>
      </c>
    </row>
    <row r="437" spans="1:11" x14ac:dyDescent="0.25">
      <c r="A437" s="1">
        <v>45857</v>
      </c>
      <c r="B437" t="s">
        <v>20</v>
      </c>
      <c r="C437" t="s">
        <v>46</v>
      </c>
      <c r="D437" t="s">
        <v>19</v>
      </c>
      <c r="E437">
        <v>4</v>
      </c>
      <c r="F437">
        <v>453</v>
      </c>
      <c r="G437">
        <v>500</v>
      </c>
      <c r="H437">
        <v>90</v>
      </c>
      <c r="I437">
        <v>45000</v>
      </c>
      <c r="J437">
        <v>6750</v>
      </c>
      <c r="K437">
        <v>51750</v>
      </c>
    </row>
    <row r="438" spans="1:11" x14ac:dyDescent="0.25">
      <c r="A438" s="1">
        <v>45857</v>
      </c>
      <c r="B438" t="s">
        <v>20</v>
      </c>
      <c r="C438" t="s">
        <v>28</v>
      </c>
      <c r="D438" t="s">
        <v>19</v>
      </c>
      <c r="E438">
        <v>4</v>
      </c>
      <c r="F438">
        <v>453</v>
      </c>
      <c r="G438">
        <v>500</v>
      </c>
      <c r="H438">
        <v>90</v>
      </c>
      <c r="I438">
        <v>45000</v>
      </c>
      <c r="J438">
        <v>6750</v>
      </c>
      <c r="K438">
        <v>51750</v>
      </c>
    </row>
    <row r="439" spans="1:11" x14ac:dyDescent="0.25">
      <c r="A439" s="1">
        <v>45857</v>
      </c>
      <c r="B439" t="s">
        <v>20</v>
      </c>
      <c r="C439" t="s">
        <v>50</v>
      </c>
      <c r="D439" t="s">
        <v>19</v>
      </c>
      <c r="E439">
        <v>7</v>
      </c>
      <c r="F439">
        <v>500</v>
      </c>
      <c r="G439">
        <v>500</v>
      </c>
      <c r="H439">
        <v>90</v>
      </c>
      <c r="I439">
        <v>45000</v>
      </c>
      <c r="J439">
        <v>6750</v>
      </c>
      <c r="K439">
        <v>51750</v>
      </c>
    </row>
    <row r="440" spans="1:11" x14ac:dyDescent="0.25">
      <c r="A440" s="1">
        <v>45857</v>
      </c>
      <c r="B440" t="s">
        <v>20</v>
      </c>
      <c r="C440" t="s">
        <v>126</v>
      </c>
      <c r="D440" t="s">
        <v>19</v>
      </c>
      <c r="E440">
        <v>4</v>
      </c>
      <c r="F440">
        <v>453</v>
      </c>
      <c r="G440">
        <v>500</v>
      </c>
      <c r="H440">
        <v>90</v>
      </c>
      <c r="I440">
        <v>45000</v>
      </c>
      <c r="J440">
        <v>6750</v>
      </c>
      <c r="K440">
        <v>51750</v>
      </c>
    </row>
    <row r="441" spans="1:11" x14ac:dyDescent="0.25">
      <c r="A441" s="1">
        <v>45840</v>
      </c>
      <c r="B441" t="s">
        <v>20</v>
      </c>
      <c r="C441" t="s">
        <v>85</v>
      </c>
      <c r="D441" t="s">
        <v>19</v>
      </c>
      <c r="E441">
        <v>9</v>
      </c>
      <c r="F441">
        <v>34</v>
      </c>
      <c r="G441">
        <v>34</v>
      </c>
      <c r="H441">
        <v>90</v>
      </c>
      <c r="I441">
        <v>3060</v>
      </c>
      <c r="J441">
        <v>459</v>
      </c>
      <c r="K441">
        <v>3519</v>
      </c>
    </row>
    <row r="442" spans="1:11" x14ac:dyDescent="0.25">
      <c r="A442" s="1">
        <v>45838</v>
      </c>
      <c r="B442" t="s">
        <v>20</v>
      </c>
      <c r="C442" t="s">
        <v>100</v>
      </c>
      <c r="D442" t="s">
        <v>19</v>
      </c>
      <c r="E442">
        <v>1</v>
      </c>
      <c r="F442">
        <v>0</v>
      </c>
      <c r="G442">
        <v>349</v>
      </c>
      <c r="H442">
        <v>90</v>
      </c>
      <c r="I442">
        <v>31410</v>
      </c>
      <c r="J442">
        <v>4711.5</v>
      </c>
      <c r="K442">
        <v>36121.5</v>
      </c>
    </row>
    <row r="443" spans="1:11" x14ac:dyDescent="0.25">
      <c r="A443" s="1">
        <v>45840</v>
      </c>
      <c r="B443" t="s">
        <v>20</v>
      </c>
      <c r="C443" t="s">
        <v>40</v>
      </c>
      <c r="D443" t="s">
        <v>22</v>
      </c>
      <c r="E443">
        <v>9</v>
      </c>
      <c r="F443">
        <v>412</v>
      </c>
      <c r="G443">
        <v>383</v>
      </c>
      <c r="H443">
        <v>90</v>
      </c>
      <c r="I443">
        <v>34470</v>
      </c>
      <c r="J443">
        <v>5170.5</v>
      </c>
      <c r="K443">
        <v>39640.5</v>
      </c>
    </row>
    <row r="444" spans="1:11" x14ac:dyDescent="0.25">
      <c r="A444" s="1">
        <v>45840</v>
      </c>
      <c r="B444" t="s">
        <v>20</v>
      </c>
      <c r="C444" t="s">
        <v>40</v>
      </c>
      <c r="D444" t="s">
        <v>17</v>
      </c>
      <c r="E444">
        <v>9</v>
      </c>
      <c r="F444">
        <v>100</v>
      </c>
      <c r="G444">
        <v>100</v>
      </c>
      <c r="H444">
        <v>90</v>
      </c>
      <c r="I444">
        <v>9000</v>
      </c>
      <c r="J444">
        <v>1350</v>
      </c>
      <c r="K444">
        <v>10350</v>
      </c>
    </row>
    <row r="445" spans="1:11" x14ac:dyDescent="0.25">
      <c r="A445" s="1">
        <v>45840</v>
      </c>
      <c r="B445" t="s">
        <v>20</v>
      </c>
      <c r="C445" t="s">
        <v>40</v>
      </c>
      <c r="D445" t="s">
        <v>26</v>
      </c>
      <c r="E445">
        <v>4</v>
      </c>
      <c r="F445">
        <v>414</v>
      </c>
      <c r="G445">
        <v>414</v>
      </c>
      <c r="H445">
        <v>90</v>
      </c>
      <c r="I445">
        <v>37260</v>
      </c>
      <c r="J445">
        <v>5589</v>
      </c>
      <c r="K445">
        <v>42849</v>
      </c>
    </row>
    <row r="446" spans="1:11" x14ac:dyDescent="0.25">
      <c r="A446" s="1">
        <v>45840</v>
      </c>
      <c r="B446" t="s">
        <v>20</v>
      </c>
      <c r="C446" t="s">
        <v>40</v>
      </c>
      <c r="D446" t="s">
        <v>27</v>
      </c>
      <c r="E446">
        <v>23</v>
      </c>
      <c r="F446">
        <v>98</v>
      </c>
      <c r="G446">
        <v>98</v>
      </c>
      <c r="H446">
        <v>90</v>
      </c>
      <c r="I446">
        <v>8820</v>
      </c>
      <c r="J446">
        <v>1323</v>
      </c>
      <c r="K446">
        <v>10143</v>
      </c>
    </row>
    <row r="447" spans="1:11" x14ac:dyDescent="0.25">
      <c r="A447" s="1">
        <v>45840</v>
      </c>
      <c r="B447" t="s">
        <v>20</v>
      </c>
      <c r="C447" t="s">
        <v>85</v>
      </c>
      <c r="D447" t="s">
        <v>32</v>
      </c>
      <c r="E447">
        <v>9</v>
      </c>
      <c r="F447">
        <v>34</v>
      </c>
      <c r="G447">
        <v>34</v>
      </c>
      <c r="H447">
        <v>90</v>
      </c>
      <c r="I447">
        <v>3060</v>
      </c>
      <c r="J447">
        <v>459</v>
      </c>
      <c r="K447">
        <v>3519</v>
      </c>
    </row>
    <row r="448" spans="1:11" x14ac:dyDescent="0.25">
      <c r="A448" s="1">
        <v>45846</v>
      </c>
      <c r="B448" t="s">
        <v>20</v>
      </c>
      <c r="C448" t="s">
        <v>49</v>
      </c>
      <c r="D448" t="s">
        <v>19</v>
      </c>
      <c r="E448">
        <v>5</v>
      </c>
      <c r="F448">
        <v>5</v>
      </c>
      <c r="G448">
        <v>500</v>
      </c>
      <c r="H448">
        <v>90</v>
      </c>
      <c r="I448">
        <v>45000</v>
      </c>
      <c r="J448">
        <v>6750</v>
      </c>
      <c r="K448">
        <v>51750</v>
      </c>
    </row>
    <row r="449" spans="1:11" x14ac:dyDescent="0.25">
      <c r="A449" s="1">
        <v>45840</v>
      </c>
      <c r="B449" t="s">
        <v>20</v>
      </c>
      <c r="C449" t="s">
        <v>85</v>
      </c>
      <c r="D449" t="s">
        <v>17</v>
      </c>
      <c r="E449">
        <v>9</v>
      </c>
      <c r="F449">
        <v>2589</v>
      </c>
      <c r="G449">
        <v>2589</v>
      </c>
      <c r="H449">
        <v>90</v>
      </c>
      <c r="I449">
        <v>233010</v>
      </c>
      <c r="J449">
        <v>34951.5</v>
      </c>
      <c r="K449">
        <v>267961.5</v>
      </c>
    </row>
    <row r="450" spans="1:11" x14ac:dyDescent="0.25">
      <c r="A450" s="1">
        <v>45840</v>
      </c>
      <c r="B450" t="s">
        <v>36</v>
      </c>
      <c r="C450" t="s">
        <v>179</v>
      </c>
      <c r="D450" t="s">
        <v>32</v>
      </c>
      <c r="E450">
        <v>7</v>
      </c>
      <c r="F450">
        <v>7</v>
      </c>
      <c r="G450">
        <v>15</v>
      </c>
      <c r="H450">
        <v>2400</v>
      </c>
      <c r="I450">
        <v>36000</v>
      </c>
      <c r="J450">
        <v>5400</v>
      </c>
      <c r="K450">
        <v>41400</v>
      </c>
    </row>
    <row r="451" spans="1:11" x14ac:dyDescent="0.25">
      <c r="A451" s="1">
        <v>45840</v>
      </c>
      <c r="B451" t="s">
        <v>150</v>
      </c>
      <c r="C451" t="s">
        <v>76</v>
      </c>
      <c r="D451" t="s">
        <v>26</v>
      </c>
      <c r="E451">
        <v>3</v>
      </c>
      <c r="F451">
        <v>81200</v>
      </c>
      <c r="G451">
        <v>81200</v>
      </c>
      <c r="H451">
        <v>12</v>
      </c>
      <c r="I451">
        <v>974400</v>
      </c>
      <c r="J451">
        <v>146160</v>
      </c>
      <c r="K451">
        <v>1120560</v>
      </c>
    </row>
    <row r="452" spans="1:11" x14ac:dyDescent="0.25">
      <c r="A452" s="1">
        <v>45840</v>
      </c>
      <c r="B452" t="s">
        <v>44</v>
      </c>
      <c r="C452" t="s">
        <v>55</v>
      </c>
      <c r="D452" t="s">
        <v>108</v>
      </c>
      <c r="E452">
        <v>13</v>
      </c>
      <c r="F452">
        <v>240</v>
      </c>
      <c r="G452">
        <v>240</v>
      </c>
      <c r="H452">
        <v>70</v>
      </c>
      <c r="I452">
        <v>16800</v>
      </c>
      <c r="J452">
        <v>2520</v>
      </c>
      <c r="K452">
        <v>19320</v>
      </c>
    </row>
    <row r="453" spans="1:11" x14ac:dyDescent="0.25">
      <c r="A453" s="1">
        <v>45840</v>
      </c>
      <c r="B453" t="s">
        <v>42</v>
      </c>
      <c r="C453" t="s">
        <v>25</v>
      </c>
      <c r="D453" t="s">
        <v>32</v>
      </c>
      <c r="E453">
        <v>3</v>
      </c>
      <c r="F453">
        <v>347</v>
      </c>
      <c r="G453">
        <v>347</v>
      </c>
      <c r="H453">
        <v>70</v>
      </c>
      <c r="I453">
        <v>24290</v>
      </c>
      <c r="J453">
        <v>3643.5</v>
      </c>
      <c r="K453">
        <v>27933.5</v>
      </c>
    </row>
    <row r="454" spans="1:11" x14ac:dyDescent="0.25">
      <c r="A454" s="1">
        <v>45840</v>
      </c>
      <c r="B454" t="s">
        <v>12</v>
      </c>
      <c r="C454" t="s">
        <v>180</v>
      </c>
      <c r="D454" t="s">
        <v>17</v>
      </c>
      <c r="E454">
        <v>35</v>
      </c>
      <c r="F454">
        <v>4</v>
      </c>
      <c r="G454">
        <v>7.58</v>
      </c>
      <c r="H454">
        <v>20000</v>
      </c>
      <c r="I454">
        <v>151600</v>
      </c>
      <c r="J454">
        <v>22740</v>
      </c>
      <c r="K454">
        <v>174340</v>
      </c>
    </row>
    <row r="455" spans="1:11" x14ac:dyDescent="0.25">
      <c r="A455" s="1">
        <v>45840</v>
      </c>
      <c r="B455" t="s">
        <v>122</v>
      </c>
      <c r="C455" t="s">
        <v>100</v>
      </c>
      <c r="D455" t="s">
        <v>24</v>
      </c>
      <c r="E455">
        <v>6</v>
      </c>
      <c r="F455">
        <v>73</v>
      </c>
      <c r="G455">
        <v>73</v>
      </c>
      <c r="H455">
        <v>90</v>
      </c>
      <c r="I455">
        <v>6570</v>
      </c>
      <c r="J455">
        <v>985.5</v>
      </c>
      <c r="K455">
        <v>7555.5</v>
      </c>
    </row>
    <row r="456" spans="1:11" x14ac:dyDescent="0.25">
      <c r="A456" s="1">
        <v>45843</v>
      </c>
      <c r="B456" t="s">
        <v>42</v>
      </c>
      <c r="C456" t="s">
        <v>46</v>
      </c>
      <c r="D456" t="s">
        <v>26</v>
      </c>
      <c r="E456">
        <v>3</v>
      </c>
      <c r="F456">
        <v>489</v>
      </c>
      <c r="G456">
        <v>489</v>
      </c>
      <c r="H456">
        <v>70</v>
      </c>
      <c r="I456">
        <v>34230</v>
      </c>
      <c r="J456">
        <v>5134.5</v>
      </c>
      <c r="K456">
        <v>39364.5</v>
      </c>
    </row>
    <row r="457" spans="1:11" x14ac:dyDescent="0.25">
      <c r="A457" s="1">
        <v>45835</v>
      </c>
      <c r="B457" t="s">
        <v>60</v>
      </c>
      <c r="C457" t="s">
        <v>149</v>
      </c>
      <c r="D457" t="s">
        <v>19</v>
      </c>
      <c r="E457">
        <v>3</v>
      </c>
      <c r="F457">
        <v>10</v>
      </c>
      <c r="G457">
        <v>10</v>
      </c>
      <c r="H457">
        <v>2400</v>
      </c>
      <c r="I457">
        <v>24000</v>
      </c>
      <c r="J457">
        <v>3600</v>
      </c>
      <c r="K457">
        <v>27600</v>
      </c>
    </row>
    <row r="458" spans="1:11" x14ac:dyDescent="0.25">
      <c r="A458" s="1">
        <v>45835</v>
      </c>
      <c r="B458" t="s">
        <v>60</v>
      </c>
      <c r="C458" t="s">
        <v>181</v>
      </c>
      <c r="D458" t="s">
        <v>19</v>
      </c>
      <c r="E458">
        <v>3</v>
      </c>
      <c r="F458">
        <v>21.27</v>
      </c>
      <c r="G458">
        <v>21.27</v>
      </c>
      <c r="H458">
        <v>2400</v>
      </c>
      <c r="I458">
        <v>51048</v>
      </c>
      <c r="J458">
        <v>7657.2</v>
      </c>
      <c r="K458">
        <v>58705.2</v>
      </c>
    </row>
    <row r="459" spans="1:11" x14ac:dyDescent="0.25">
      <c r="A459" s="1">
        <v>45840</v>
      </c>
      <c r="B459" t="s">
        <v>60</v>
      </c>
      <c r="C459" t="s">
        <v>182</v>
      </c>
      <c r="D459" t="s">
        <v>19</v>
      </c>
      <c r="E459">
        <v>11</v>
      </c>
      <c r="F459">
        <v>21.1</v>
      </c>
      <c r="G459">
        <v>21.1</v>
      </c>
      <c r="H459">
        <v>2400</v>
      </c>
      <c r="I459">
        <v>50640</v>
      </c>
      <c r="J459">
        <v>7596</v>
      </c>
      <c r="K459">
        <v>58236</v>
      </c>
    </row>
    <row r="460" spans="1:11" x14ac:dyDescent="0.25">
      <c r="A460" s="1">
        <v>45840</v>
      </c>
      <c r="B460" t="s">
        <v>134</v>
      </c>
      <c r="C460" t="s">
        <v>97</v>
      </c>
      <c r="D460" t="s">
        <v>17</v>
      </c>
      <c r="E460">
        <v>30</v>
      </c>
      <c r="F460">
        <v>9</v>
      </c>
      <c r="G460">
        <v>17.16</v>
      </c>
      <c r="H460">
        <v>15000</v>
      </c>
      <c r="I460">
        <v>257400</v>
      </c>
      <c r="J460">
        <v>38610</v>
      </c>
      <c r="K460">
        <v>296010</v>
      </c>
    </row>
    <row r="461" spans="1:11" x14ac:dyDescent="0.25">
      <c r="A461" s="1">
        <v>45839</v>
      </c>
      <c r="B461" t="s">
        <v>168</v>
      </c>
      <c r="C461" t="s">
        <v>81</v>
      </c>
      <c r="D461" t="s">
        <v>26</v>
      </c>
      <c r="E461">
        <v>8</v>
      </c>
      <c r="F461">
        <v>1</v>
      </c>
      <c r="G461">
        <v>21.32</v>
      </c>
      <c r="H461">
        <v>3500</v>
      </c>
      <c r="I461">
        <v>74620</v>
      </c>
      <c r="J461">
        <v>11193</v>
      </c>
      <c r="K461">
        <v>85813</v>
      </c>
    </row>
    <row r="462" spans="1:11" x14ac:dyDescent="0.25">
      <c r="A462" s="1">
        <v>45840</v>
      </c>
      <c r="B462" t="s">
        <v>168</v>
      </c>
      <c r="C462" t="s">
        <v>130</v>
      </c>
      <c r="D462" t="s">
        <v>57</v>
      </c>
      <c r="E462">
        <v>7</v>
      </c>
      <c r="F462">
        <v>1</v>
      </c>
      <c r="G462">
        <v>10.36</v>
      </c>
      <c r="H462">
        <v>3500</v>
      </c>
      <c r="I462">
        <v>36260</v>
      </c>
      <c r="J462">
        <v>5439</v>
      </c>
      <c r="K462">
        <v>41699</v>
      </c>
    </row>
    <row r="463" spans="1:11" x14ac:dyDescent="0.25">
      <c r="A463" s="1">
        <v>45840</v>
      </c>
      <c r="B463" t="s">
        <v>36</v>
      </c>
      <c r="C463" t="s">
        <v>81</v>
      </c>
      <c r="D463" t="s">
        <v>19</v>
      </c>
      <c r="E463">
        <v>5</v>
      </c>
      <c r="F463">
        <v>5</v>
      </c>
      <c r="G463">
        <v>10</v>
      </c>
      <c r="H463">
        <v>2400</v>
      </c>
      <c r="I463">
        <v>24000</v>
      </c>
      <c r="J463">
        <v>3600</v>
      </c>
      <c r="K463">
        <v>27600</v>
      </c>
    </row>
    <row r="464" spans="1:11" x14ac:dyDescent="0.25">
      <c r="A464" s="1">
        <v>45840</v>
      </c>
      <c r="B464" t="s">
        <v>80</v>
      </c>
      <c r="C464" t="s">
        <v>163</v>
      </c>
      <c r="D464" t="s">
        <v>22</v>
      </c>
      <c r="E464">
        <v>30</v>
      </c>
      <c r="F464">
        <v>2151</v>
      </c>
      <c r="G464">
        <v>2151</v>
      </c>
      <c r="H464">
        <v>70</v>
      </c>
      <c r="I464">
        <v>150570</v>
      </c>
      <c r="J464">
        <v>22585.5</v>
      </c>
      <c r="K464">
        <v>173155.5</v>
      </c>
    </row>
    <row r="465" spans="1:11" x14ac:dyDescent="0.25">
      <c r="A465" s="1">
        <v>45840</v>
      </c>
      <c r="B465" t="s">
        <v>168</v>
      </c>
      <c r="C465" t="s">
        <v>130</v>
      </c>
      <c r="D465" t="s">
        <v>63</v>
      </c>
      <c r="E465">
        <v>3</v>
      </c>
      <c r="F465">
        <v>1</v>
      </c>
      <c r="G465">
        <v>12</v>
      </c>
      <c r="H465">
        <v>3500</v>
      </c>
      <c r="I465">
        <v>42000</v>
      </c>
      <c r="J465">
        <v>6300</v>
      </c>
      <c r="K465">
        <v>48300</v>
      </c>
    </row>
    <row r="466" spans="1:11" x14ac:dyDescent="0.25">
      <c r="A466" s="1">
        <v>45840</v>
      </c>
      <c r="B466" t="s">
        <v>120</v>
      </c>
      <c r="C466" t="s">
        <v>109</v>
      </c>
      <c r="D466" t="s">
        <v>27</v>
      </c>
      <c r="E466">
        <v>9</v>
      </c>
      <c r="F466">
        <v>491</v>
      </c>
      <c r="G466">
        <v>491</v>
      </c>
      <c r="H466">
        <v>5</v>
      </c>
      <c r="I466">
        <v>2455</v>
      </c>
      <c r="J466">
        <v>368.25</v>
      </c>
      <c r="K466">
        <v>2823.25</v>
      </c>
    </row>
    <row r="467" spans="1:11" x14ac:dyDescent="0.25">
      <c r="A467" s="1">
        <v>45840</v>
      </c>
      <c r="B467" t="s">
        <v>168</v>
      </c>
      <c r="C467" t="s">
        <v>119</v>
      </c>
      <c r="D467" t="s">
        <v>63</v>
      </c>
      <c r="E467">
        <v>4</v>
      </c>
      <c r="F467">
        <v>1</v>
      </c>
      <c r="G467">
        <v>16.86</v>
      </c>
      <c r="H467">
        <v>3500</v>
      </c>
      <c r="I467">
        <v>59010</v>
      </c>
      <c r="J467">
        <v>8851.5</v>
      </c>
      <c r="K467">
        <v>67861.5</v>
      </c>
    </row>
    <row r="468" spans="1:11" x14ac:dyDescent="0.25">
      <c r="A468" s="1">
        <v>45840</v>
      </c>
      <c r="B468" t="s">
        <v>120</v>
      </c>
      <c r="C468" t="s">
        <v>160</v>
      </c>
      <c r="D468" t="s">
        <v>11</v>
      </c>
      <c r="E468">
        <v>4</v>
      </c>
      <c r="F468">
        <v>1928</v>
      </c>
      <c r="G468">
        <v>1928</v>
      </c>
      <c r="H468">
        <v>5</v>
      </c>
      <c r="I468">
        <v>9640</v>
      </c>
      <c r="J468">
        <v>1446</v>
      </c>
      <c r="K468">
        <v>11086</v>
      </c>
    </row>
    <row r="469" spans="1:11" x14ac:dyDescent="0.25">
      <c r="B469" t="s">
        <v>20</v>
      </c>
      <c r="C469" t="s">
        <v>43</v>
      </c>
      <c r="D469" t="s">
        <v>88</v>
      </c>
      <c r="E469">
        <v>8</v>
      </c>
      <c r="F469">
        <v>655</v>
      </c>
      <c r="G469">
        <v>655</v>
      </c>
      <c r="H469">
        <v>90</v>
      </c>
      <c r="I469">
        <v>58950</v>
      </c>
      <c r="J469">
        <v>8842.5</v>
      </c>
      <c r="K469">
        <v>67792.5</v>
      </c>
    </row>
    <row r="470" spans="1:11" x14ac:dyDescent="0.25">
      <c r="A470" s="1">
        <v>45840</v>
      </c>
      <c r="B470" t="s">
        <v>20</v>
      </c>
      <c r="C470" t="s">
        <v>81</v>
      </c>
      <c r="D470" t="s">
        <v>24</v>
      </c>
      <c r="E470">
        <v>6</v>
      </c>
      <c r="F470">
        <v>875</v>
      </c>
      <c r="G470">
        <v>875</v>
      </c>
      <c r="H470">
        <v>90</v>
      </c>
      <c r="I470">
        <v>78750</v>
      </c>
      <c r="J470">
        <v>11812.5</v>
      </c>
      <c r="K470">
        <v>90562.5</v>
      </c>
    </row>
    <row r="471" spans="1:11" x14ac:dyDescent="0.25">
      <c r="A471" s="1">
        <v>45840</v>
      </c>
      <c r="B471" t="s">
        <v>120</v>
      </c>
      <c r="C471" t="s">
        <v>28</v>
      </c>
      <c r="D471" t="s">
        <v>11</v>
      </c>
      <c r="E471">
        <v>2</v>
      </c>
      <c r="F471">
        <v>2000</v>
      </c>
      <c r="G471">
        <v>2000</v>
      </c>
      <c r="H471">
        <v>5</v>
      </c>
      <c r="I471">
        <v>10000</v>
      </c>
      <c r="J471">
        <v>1500</v>
      </c>
      <c r="K471">
        <v>11500</v>
      </c>
    </row>
    <row r="472" spans="1:11" x14ac:dyDescent="0.25">
      <c r="A472" s="1">
        <v>45836</v>
      </c>
      <c r="B472" t="s">
        <v>36</v>
      </c>
      <c r="C472" t="s">
        <v>18</v>
      </c>
      <c r="D472" t="s">
        <v>17</v>
      </c>
      <c r="E472">
        <v>6</v>
      </c>
      <c r="F472">
        <v>4</v>
      </c>
      <c r="G472">
        <v>20</v>
      </c>
      <c r="H472">
        <v>2400</v>
      </c>
      <c r="I472">
        <v>48000</v>
      </c>
      <c r="J472">
        <v>7200</v>
      </c>
      <c r="K472">
        <v>55200</v>
      </c>
    </row>
    <row r="473" spans="1:11" x14ac:dyDescent="0.25">
      <c r="A473" s="1">
        <v>45836</v>
      </c>
      <c r="B473" t="s">
        <v>36</v>
      </c>
      <c r="C473" t="s">
        <v>175</v>
      </c>
      <c r="D473" t="s">
        <v>17</v>
      </c>
      <c r="E473">
        <v>6</v>
      </c>
      <c r="F473">
        <v>3</v>
      </c>
      <c r="G473">
        <v>20</v>
      </c>
      <c r="H473">
        <v>2400</v>
      </c>
      <c r="I473">
        <v>48000</v>
      </c>
      <c r="J473">
        <v>7200</v>
      </c>
      <c r="K473">
        <v>55200</v>
      </c>
    </row>
    <row r="474" spans="1:11" x14ac:dyDescent="0.25">
      <c r="A474" s="1">
        <v>45836</v>
      </c>
      <c r="B474" t="s">
        <v>36</v>
      </c>
      <c r="C474" t="s">
        <v>124</v>
      </c>
      <c r="D474" t="s">
        <v>17</v>
      </c>
      <c r="E474">
        <v>6</v>
      </c>
      <c r="F474">
        <v>7</v>
      </c>
      <c r="G474">
        <v>20</v>
      </c>
      <c r="H474">
        <v>2400</v>
      </c>
      <c r="I474">
        <v>48000</v>
      </c>
      <c r="J474">
        <v>7200</v>
      </c>
      <c r="K474">
        <v>55200</v>
      </c>
    </row>
    <row r="475" spans="1:11" x14ac:dyDescent="0.25">
      <c r="A475" s="1">
        <v>45836</v>
      </c>
      <c r="B475" t="s">
        <v>36</v>
      </c>
      <c r="C475" t="s">
        <v>158</v>
      </c>
      <c r="D475" t="s">
        <v>17</v>
      </c>
      <c r="E475">
        <v>6</v>
      </c>
      <c r="F475">
        <v>4</v>
      </c>
      <c r="G475">
        <v>20</v>
      </c>
      <c r="H475">
        <v>2400</v>
      </c>
      <c r="I475">
        <v>48000</v>
      </c>
      <c r="J475">
        <v>7200</v>
      </c>
      <c r="K475">
        <v>55200</v>
      </c>
    </row>
    <row r="476" spans="1:11" x14ac:dyDescent="0.25">
      <c r="A476" s="1">
        <v>45836</v>
      </c>
      <c r="B476" t="s">
        <v>36</v>
      </c>
      <c r="C476" t="s">
        <v>183</v>
      </c>
      <c r="D476" t="s">
        <v>17</v>
      </c>
      <c r="E476">
        <v>6</v>
      </c>
      <c r="F476">
        <v>6</v>
      </c>
      <c r="G476">
        <v>10</v>
      </c>
      <c r="H476">
        <v>2400</v>
      </c>
      <c r="I476">
        <v>24000</v>
      </c>
      <c r="J476">
        <v>3600</v>
      </c>
      <c r="K476">
        <v>27600</v>
      </c>
    </row>
    <row r="477" spans="1:11" x14ac:dyDescent="0.25">
      <c r="A477" s="1">
        <v>45836</v>
      </c>
      <c r="B477" t="s">
        <v>36</v>
      </c>
      <c r="C477" t="s">
        <v>161</v>
      </c>
      <c r="D477" t="s">
        <v>17</v>
      </c>
      <c r="E477">
        <v>6</v>
      </c>
      <c r="F477">
        <v>4</v>
      </c>
      <c r="G477">
        <v>10.88</v>
      </c>
      <c r="H477">
        <v>2400</v>
      </c>
      <c r="I477">
        <v>26112</v>
      </c>
      <c r="J477">
        <v>3916.8</v>
      </c>
      <c r="K477">
        <v>30028.799999999999</v>
      </c>
    </row>
    <row r="478" spans="1:11" x14ac:dyDescent="0.25">
      <c r="A478" s="1">
        <v>45836</v>
      </c>
      <c r="B478" t="s">
        <v>36</v>
      </c>
      <c r="C478" t="s">
        <v>28</v>
      </c>
      <c r="D478" t="s">
        <v>17</v>
      </c>
      <c r="E478">
        <v>6</v>
      </c>
      <c r="F478">
        <v>4</v>
      </c>
      <c r="G478">
        <v>10</v>
      </c>
      <c r="H478">
        <v>2400</v>
      </c>
      <c r="I478">
        <v>24000</v>
      </c>
      <c r="J478">
        <v>3600</v>
      </c>
      <c r="K478">
        <v>27600</v>
      </c>
    </row>
    <row r="479" spans="1:11" x14ac:dyDescent="0.25">
      <c r="A479" s="1">
        <v>45836</v>
      </c>
      <c r="B479" t="s">
        <v>36</v>
      </c>
      <c r="C479" t="s">
        <v>126</v>
      </c>
      <c r="D479" t="s">
        <v>17</v>
      </c>
      <c r="E479">
        <v>6</v>
      </c>
      <c r="F479">
        <v>3</v>
      </c>
      <c r="G479">
        <v>10</v>
      </c>
      <c r="H479">
        <v>2400</v>
      </c>
      <c r="I479">
        <v>24000</v>
      </c>
      <c r="J479">
        <v>3600</v>
      </c>
      <c r="K479">
        <v>27600</v>
      </c>
    </row>
    <row r="480" spans="1:11" x14ac:dyDescent="0.25">
      <c r="A480" s="1">
        <v>45836</v>
      </c>
      <c r="B480" t="s">
        <v>36</v>
      </c>
      <c r="C480" t="s">
        <v>104</v>
      </c>
      <c r="D480" t="s">
        <v>17</v>
      </c>
      <c r="E480">
        <v>6</v>
      </c>
      <c r="F480">
        <v>8</v>
      </c>
      <c r="G480">
        <v>10</v>
      </c>
      <c r="H480">
        <v>2400</v>
      </c>
      <c r="I480">
        <v>24000</v>
      </c>
      <c r="J480">
        <v>3600</v>
      </c>
      <c r="K480">
        <v>27600</v>
      </c>
    </row>
    <row r="481" spans="1:11" x14ac:dyDescent="0.25">
      <c r="A481" s="1">
        <v>45836</v>
      </c>
      <c r="B481" t="s">
        <v>36</v>
      </c>
      <c r="C481" t="s">
        <v>184</v>
      </c>
      <c r="D481" t="s">
        <v>17</v>
      </c>
      <c r="E481">
        <v>6</v>
      </c>
      <c r="F481">
        <v>6</v>
      </c>
      <c r="G481">
        <v>20</v>
      </c>
      <c r="H481">
        <v>2400</v>
      </c>
      <c r="I481">
        <v>48000</v>
      </c>
      <c r="J481">
        <v>7200</v>
      </c>
      <c r="K481">
        <v>55200</v>
      </c>
    </row>
    <row r="482" spans="1:11" x14ac:dyDescent="0.25">
      <c r="A482" s="1">
        <v>45836</v>
      </c>
      <c r="B482" t="s">
        <v>36</v>
      </c>
      <c r="C482" t="s">
        <v>185</v>
      </c>
      <c r="D482" t="s">
        <v>17</v>
      </c>
      <c r="E482">
        <v>6</v>
      </c>
      <c r="F482">
        <v>8</v>
      </c>
      <c r="G482">
        <v>19.97</v>
      </c>
      <c r="H482">
        <v>2400</v>
      </c>
      <c r="I482">
        <v>47928</v>
      </c>
      <c r="J482">
        <v>7189.2</v>
      </c>
      <c r="K482">
        <v>55117.2</v>
      </c>
    </row>
    <row r="483" spans="1:11" x14ac:dyDescent="0.25">
      <c r="A483" s="1">
        <v>45836</v>
      </c>
      <c r="B483" t="s">
        <v>36</v>
      </c>
      <c r="C483" t="s">
        <v>38</v>
      </c>
      <c r="D483" t="s">
        <v>17</v>
      </c>
      <c r="E483">
        <v>6</v>
      </c>
      <c r="F483">
        <v>6</v>
      </c>
      <c r="G483">
        <v>15</v>
      </c>
      <c r="H483">
        <v>2400</v>
      </c>
      <c r="I483">
        <v>36000</v>
      </c>
      <c r="J483">
        <v>5400</v>
      </c>
      <c r="K483">
        <v>41400</v>
      </c>
    </row>
    <row r="484" spans="1:11" x14ac:dyDescent="0.25">
      <c r="A484" s="1">
        <v>45836</v>
      </c>
      <c r="B484" t="s">
        <v>36</v>
      </c>
      <c r="C484" t="s">
        <v>91</v>
      </c>
      <c r="D484" t="s">
        <v>17</v>
      </c>
      <c r="E484">
        <v>6</v>
      </c>
      <c r="F484">
        <v>5</v>
      </c>
      <c r="G484">
        <v>15</v>
      </c>
      <c r="H484">
        <v>2400</v>
      </c>
      <c r="I484">
        <v>36000</v>
      </c>
      <c r="J484">
        <v>5400</v>
      </c>
      <c r="K484">
        <v>41400</v>
      </c>
    </row>
    <row r="485" spans="1:11" x14ac:dyDescent="0.25">
      <c r="A485" s="1">
        <v>45836</v>
      </c>
      <c r="B485" t="s">
        <v>36</v>
      </c>
      <c r="C485" t="s">
        <v>109</v>
      </c>
      <c r="D485" t="s">
        <v>17</v>
      </c>
      <c r="E485">
        <v>6</v>
      </c>
      <c r="F485">
        <v>7</v>
      </c>
      <c r="G485">
        <v>15</v>
      </c>
      <c r="H485">
        <v>2400</v>
      </c>
      <c r="I485">
        <v>36000</v>
      </c>
      <c r="J485">
        <v>5400</v>
      </c>
      <c r="K485">
        <v>41400</v>
      </c>
    </row>
    <row r="486" spans="1:11" x14ac:dyDescent="0.25">
      <c r="A486" s="1">
        <v>45836</v>
      </c>
      <c r="B486" t="s">
        <v>36</v>
      </c>
      <c r="C486" t="s">
        <v>160</v>
      </c>
      <c r="D486" t="s">
        <v>17</v>
      </c>
      <c r="E486">
        <v>6</v>
      </c>
      <c r="F486">
        <v>4</v>
      </c>
      <c r="G486">
        <v>15</v>
      </c>
      <c r="H486">
        <v>2400</v>
      </c>
      <c r="I486">
        <v>36000</v>
      </c>
      <c r="J486">
        <v>5400</v>
      </c>
      <c r="K486">
        <v>41400</v>
      </c>
    </row>
    <row r="487" spans="1:11" x14ac:dyDescent="0.25">
      <c r="A487" s="1">
        <v>45840</v>
      </c>
      <c r="B487" t="s">
        <v>36</v>
      </c>
      <c r="C487" t="s">
        <v>53</v>
      </c>
      <c r="D487" t="s">
        <v>17</v>
      </c>
      <c r="E487">
        <v>5</v>
      </c>
      <c r="F487">
        <v>4</v>
      </c>
      <c r="G487">
        <v>15</v>
      </c>
      <c r="H487">
        <v>2400</v>
      </c>
      <c r="I487">
        <v>36000</v>
      </c>
      <c r="J487">
        <v>5400</v>
      </c>
      <c r="K487">
        <v>41400</v>
      </c>
    </row>
    <row r="488" spans="1:11" x14ac:dyDescent="0.25">
      <c r="A488" s="1">
        <v>45840</v>
      </c>
      <c r="B488" t="s">
        <v>20</v>
      </c>
      <c r="C488" t="s">
        <v>81</v>
      </c>
      <c r="D488" t="s">
        <v>32</v>
      </c>
      <c r="E488">
        <v>10</v>
      </c>
      <c r="F488">
        <v>335</v>
      </c>
      <c r="G488">
        <v>335</v>
      </c>
      <c r="H488">
        <v>90</v>
      </c>
      <c r="I488">
        <v>30150</v>
      </c>
      <c r="J488">
        <v>4522.5</v>
      </c>
      <c r="K488">
        <v>34672.5</v>
      </c>
    </row>
    <row r="489" spans="1:11" x14ac:dyDescent="0.25">
      <c r="A489" s="1">
        <v>45840</v>
      </c>
      <c r="B489" t="s">
        <v>154</v>
      </c>
      <c r="C489" t="s">
        <v>148</v>
      </c>
      <c r="D489" t="s">
        <v>27</v>
      </c>
      <c r="E489">
        <v>2</v>
      </c>
      <c r="F489">
        <v>0</v>
      </c>
      <c r="G489">
        <v>2</v>
      </c>
      <c r="H489">
        <v>3000</v>
      </c>
      <c r="I489">
        <v>6000</v>
      </c>
      <c r="J489">
        <v>900</v>
      </c>
      <c r="K489">
        <v>6900</v>
      </c>
    </row>
    <row r="490" spans="1:11" x14ac:dyDescent="0.25">
      <c r="A490" s="1">
        <v>45846</v>
      </c>
      <c r="B490" t="s">
        <v>20</v>
      </c>
      <c r="C490" t="s">
        <v>114</v>
      </c>
      <c r="D490" t="s">
        <v>19</v>
      </c>
      <c r="E490">
        <v>7</v>
      </c>
      <c r="F490">
        <v>7</v>
      </c>
      <c r="G490">
        <v>500</v>
      </c>
      <c r="H490">
        <v>90</v>
      </c>
      <c r="I490">
        <v>45000</v>
      </c>
      <c r="J490">
        <v>6750</v>
      </c>
      <c r="K490">
        <v>51750</v>
      </c>
    </row>
    <row r="491" spans="1:11" x14ac:dyDescent="0.25">
      <c r="A491" s="1">
        <v>45840</v>
      </c>
      <c r="B491" t="s">
        <v>20</v>
      </c>
      <c r="C491" t="s">
        <v>99</v>
      </c>
      <c r="D491" t="s">
        <v>26</v>
      </c>
      <c r="E491">
        <v>15</v>
      </c>
      <c r="F491">
        <v>45</v>
      </c>
      <c r="G491">
        <v>45</v>
      </c>
      <c r="H491">
        <v>90</v>
      </c>
      <c r="I491">
        <v>4050</v>
      </c>
      <c r="J491">
        <v>607.5</v>
      </c>
      <c r="K491">
        <v>4657.5</v>
      </c>
    </row>
    <row r="492" spans="1:11" x14ac:dyDescent="0.25">
      <c r="A492" s="1">
        <v>45840</v>
      </c>
      <c r="B492" t="s">
        <v>42</v>
      </c>
      <c r="C492" t="s">
        <v>25</v>
      </c>
      <c r="D492" t="s">
        <v>27</v>
      </c>
      <c r="E492">
        <v>5</v>
      </c>
      <c r="F492">
        <v>225</v>
      </c>
      <c r="G492">
        <v>225</v>
      </c>
      <c r="H492">
        <v>70</v>
      </c>
      <c r="I492">
        <v>15750</v>
      </c>
      <c r="J492">
        <v>2362.5</v>
      </c>
      <c r="K492">
        <v>18112.5</v>
      </c>
    </row>
    <row r="493" spans="1:11" x14ac:dyDescent="0.25">
      <c r="A493" s="1">
        <v>45840</v>
      </c>
      <c r="B493" t="s">
        <v>20</v>
      </c>
      <c r="C493" t="s">
        <v>99</v>
      </c>
      <c r="D493" t="s">
        <v>59</v>
      </c>
      <c r="E493">
        <v>2</v>
      </c>
      <c r="F493">
        <v>10</v>
      </c>
      <c r="G493">
        <v>300</v>
      </c>
      <c r="H493">
        <v>90</v>
      </c>
      <c r="I493">
        <v>27000</v>
      </c>
      <c r="J493">
        <v>4050</v>
      </c>
      <c r="K493">
        <v>31050</v>
      </c>
    </row>
    <row r="494" spans="1:11" x14ac:dyDescent="0.25">
      <c r="A494" s="1">
        <v>45846</v>
      </c>
      <c r="B494" t="s">
        <v>186</v>
      </c>
      <c r="C494" t="s">
        <v>124</v>
      </c>
      <c r="D494" t="s">
        <v>59</v>
      </c>
      <c r="E494">
        <v>7</v>
      </c>
      <c r="F494">
        <v>1</v>
      </c>
      <c r="G494">
        <v>7</v>
      </c>
      <c r="H494">
        <v>4000</v>
      </c>
      <c r="I494">
        <v>28000</v>
      </c>
      <c r="J494">
        <v>4200</v>
      </c>
      <c r="K494">
        <v>32200</v>
      </c>
    </row>
    <row r="495" spans="1:11" x14ac:dyDescent="0.25">
      <c r="A495" s="1">
        <v>45846</v>
      </c>
      <c r="B495" t="s">
        <v>186</v>
      </c>
      <c r="C495" t="s">
        <v>174</v>
      </c>
      <c r="D495" t="s">
        <v>59</v>
      </c>
      <c r="E495">
        <v>7</v>
      </c>
      <c r="F495">
        <v>1</v>
      </c>
      <c r="G495">
        <v>7</v>
      </c>
      <c r="H495">
        <v>4000</v>
      </c>
      <c r="I495">
        <v>28000</v>
      </c>
      <c r="J495">
        <v>4200</v>
      </c>
      <c r="K495">
        <v>32200</v>
      </c>
    </row>
    <row r="496" spans="1:11" x14ac:dyDescent="0.25">
      <c r="A496" s="1">
        <v>45840</v>
      </c>
      <c r="B496" t="s">
        <v>186</v>
      </c>
      <c r="C496" t="s">
        <v>127</v>
      </c>
      <c r="D496" t="s">
        <v>59</v>
      </c>
      <c r="E496">
        <v>4</v>
      </c>
      <c r="F496">
        <v>1</v>
      </c>
      <c r="G496">
        <v>4</v>
      </c>
      <c r="H496">
        <v>4000</v>
      </c>
      <c r="I496">
        <v>16000</v>
      </c>
      <c r="J496">
        <v>2400</v>
      </c>
      <c r="K496">
        <v>18400</v>
      </c>
    </row>
    <row r="497" spans="1:11" x14ac:dyDescent="0.25">
      <c r="A497" s="1">
        <v>45840</v>
      </c>
      <c r="B497" t="s">
        <v>186</v>
      </c>
      <c r="C497" t="s">
        <v>127</v>
      </c>
      <c r="D497" t="s">
        <v>32</v>
      </c>
      <c r="E497">
        <v>6</v>
      </c>
      <c r="F497">
        <v>0</v>
      </c>
      <c r="G497">
        <v>6</v>
      </c>
      <c r="H497">
        <v>4000</v>
      </c>
      <c r="I497">
        <v>24000</v>
      </c>
      <c r="J497">
        <v>3600</v>
      </c>
      <c r="K497">
        <v>27600</v>
      </c>
    </row>
    <row r="498" spans="1:11" x14ac:dyDescent="0.25">
      <c r="A498" s="1">
        <v>45840</v>
      </c>
      <c r="B498" t="s">
        <v>58</v>
      </c>
      <c r="C498" t="s">
        <v>187</v>
      </c>
      <c r="D498" t="s">
        <v>24</v>
      </c>
      <c r="E498">
        <v>5</v>
      </c>
      <c r="F498">
        <v>1</v>
      </c>
      <c r="G498">
        <v>18.75</v>
      </c>
      <c r="H498">
        <v>3500</v>
      </c>
      <c r="I498">
        <v>65625</v>
      </c>
      <c r="J498">
        <v>9843.75</v>
      </c>
      <c r="K498">
        <v>75468.75</v>
      </c>
    </row>
    <row r="499" spans="1:11" x14ac:dyDescent="0.25">
      <c r="A499" s="1">
        <v>45840</v>
      </c>
      <c r="B499" t="s">
        <v>92</v>
      </c>
      <c r="C499" t="s">
        <v>107</v>
      </c>
      <c r="D499" t="s">
        <v>19</v>
      </c>
      <c r="E499">
        <v>5</v>
      </c>
      <c r="F499">
        <v>1</v>
      </c>
      <c r="G499">
        <v>5</v>
      </c>
      <c r="H499">
        <v>3000</v>
      </c>
      <c r="I499">
        <v>15000</v>
      </c>
      <c r="J499">
        <v>2250</v>
      </c>
      <c r="K499">
        <v>17250</v>
      </c>
    </row>
    <row r="500" spans="1:11" x14ac:dyDescent="0.25">
      <c r="A500" s="1">
        <v>45841</v>
      </c>
      <c r="B500" t="s">
        <v>36</v>
      </c>
      <c r="C500" t="s">
        <v>188</v>
      </c>
      <c r="D500" t="s">
        <v>32</v>
      </c>
      <c r="E500">
        <v>5</v>
      </c>
      <c r="F500">
        <v>89</v>
      </c>
      <c r="G500">
        <v>10</v>
      </c>
      <c r="H500">
        <v>2400</v>
      </c>
      <c r="I500">
        <v>24000</v>
      </c>
      <c r="J500">
        <v>3600</v>
      </c>
      <c r="K500">
        <v>27600</v>
      </c>
    </row>
    <row r="501" spans="1:11" x14ac:dyDescent="0.25">
      <c r="A501" s="1">
        <v>45841</v>
      </c>
      <c r="B501" t="s">
        <v>154</v>
      </c>
      <c r="C501" t="s">
        <v>116</v>
      </c>
      <c r="D501" t="s">
        <v>27</v>
      </c>
      <c r="E501">
        <v>2</v>
      </c>
      <c r="F501">
        <v>0</v>
      </c>
      <c r="G501">
        <v>2</v>
      </c>
      <c r="H501">
        <v>3000</v>
      </c>
      <c r="I501">
        <v>6000</v>
      </c>
      <c r="J501">
        <v>900</v>
      </c>
      <c r="K501">
        <v>6900</v>
      </c>
    </row>
    <row r="502" spans="1:11" x14ac:dyDescent="0.25">
      <c r="A502" s="1">
        <v>45841</v>
      </c>
      <c r="B502" t="s">
        <v>92</v>
      </c>
      <c r="C502" t="s">
        <v>29</v>
      </c>
      <c r="D502" t="s">
        <v>19</v>
      </c>
      <c r="E502">
        <v>5</v>
      </c>
      <c r="F502">
        <v>1</v>
      </c>
      <c r="G502">
        <v>5</v>
      </c>
      <c r="H502">
        <v>3000</v>
      </c>
      <c r="I502">
        <v>15000</v>
      </c>
      <c r="J502">
        <v>2250</v>
      </c>
      <c r="K502">
        <v>17250</v>
      </c>
    </row>
    <row r="503" spans="1:11" x14ac:dyDescent="0.25">
      <c r="A503" s="1">
        <v>45840</v>
      </c>
      <c r="B503" t="s">
        <v>42</v>
      </c>
      <c r="C503" t="s">
        <v>25</v>
      </c>
      <c r="D503" t="s">
        <v>19</v>
      </c>
      <c r="E503">
        <v>7</v>
      </c>
      <c r="F503">
        <v>120</v>
      </c>
      <c r="G503">
        <v>120</v>
      </c>
      <c r="H503">
        <v>70</v>
      </c>
      <c r="I503">
        <v>8400</v>
      </c>
      <c r="J503">
        <v>1260</v>
      </c>
      <c r="K503">
        <v>9660</v>
      </c>
    </row>
    <row r="504" spans="1:11" x14ac:dyDescent="0.25">
      <c r="A504" s="1">
        <v>45834</v>
      </c>
      <c r="B504" t="s">
        <v>65</v>
      </c>
      <c r="C504" t="s">
        <v>46</v>
      </c>
      <c r="D504" t="s">
        <v>14</v>
      </c>
      <c r="E504">
        <v>7</v>
      </c>
      <c r="F504">
        <v>825</v>
      </c>
      <c r="G504">
        <v>825</v>
      </c>
      <c r="H504">
        <v>70</v>
      </c>
      <c r="I504">
        <v>57750</v>
      </c>
      <c r="J504">
        <v>8662.5</v>
      </c>
      <c r="K504">
        <v>66412.5</v>
      </c>
    </row>
    <row r="505" spans="1:11" x14ac:dyDescent="0.25">
      <c r="A505" s="1">
        <v>45856</v>
      </c>
      <c r="B505" t="s">
        <v>65</v>
      </c>
      <c r="C505" t="s">
        <v>159</v>
      </c>
      <c r="D505" t="s">
        <v>17</v>
      </c>
      <c r="E505">
        <v>5</v>
      </c>
      <c r="F505">
        <v>262</v>
      </c>
      <c r="G505">
        <v>262</v>
      </c>
      <c r="H505">
        <v>70</v>
      </c>
      <c r="I505">
        <v>18340</v>
      </c>
      <c r="J505">
        <v>2751</v>
      </c>
      <c r="K505">
        <v>21091</v>
      </c>
    </row>
    <row r="506" spans="1:11" x14ac:dyDescent="0.25">
      <c r="A506" s="1">
        <v>45852</v>
      </c>
      <c r="B506" t="s">
        <v>65</v>
      </c>
      <c r="C506" t="s">
        <v>49</v>
      </c>
      <c r="D506" t="s">
        <v>24</v>
      </c>
      <c r="E506">
        <v>12</v>
      </c>
      <c r="F506">
        <v>2000</v>
      </c>
      <c r="G506">
        <v>2000</v>
      </c>
      <c r="H506">
        <v>70</v>
      </c>
      <c r="I506">
        <v>140000</v>
      </c>
      <c r="J506">
        <v>21000</v>
      </c>
      <c r="K506">
        <v>161000</v>
      </c>
    </row>
    <row r="507" spans="1:11" x14ac:dyDescent="0.25">
      <c r="A507" s="1">
        <v>45841</v>
      </c>
      <c r="B507" t="s">
        <v>65</v>
      </c>
      <c r="C507" t="s">
        <v>18</v>
      </c>
      <c r="D507" t="s">
        <v>32</v>
      </c>
      <c r="E507">
        <v>3</v>
      </c>
      <c r="F507">
        <v>188</v>
      </c>
      <c r="G507">
        <v>188</v>
      </c>
      <c r="H507">
        <v>70</v>
      </c>
      <c r="I507">
        <v>13160</v>
      </c>
      <c r="J507">
        <v>1974</v>
      </c>
      <c r="K507">
        <v>15134</v>
      </c>
    </row>
    <row r="508" spans="1:11" x14ac:dyDescent="0.25">
      <c r="A508" s="1">
        <v>45841</v>
      </c>
      <c r="B508" t="s">
        <v>80</v>
      </c>
      <c r="C508" t="s">
        <v>35</v>
      </c>
      <c r="D508" t="s">
        <v>59</v>
      </c>
      <c r="E508">
        <v>13</v>
      </c>
      <c r="F508">
        <v>1000</v>
      </c>
      <c r="G508">
        <v>1000</v>
      </c>
      <c r="H508">
        <v>70</v>
      </c>
      <c r="I508">
        <v>70000</v>
      </c>
      <c r="J508">
        <v>10500</v>
      </c>
      <c r="K508">
        <v>80500</v>
      </c>
    </row>
    <row r="509" spans="1:11" x14ac:dyDescent="0.25">
      <c r="A509" s="1">
        <v>45841</v>
      </c>
      <c r="B509" t="s">
        <v>70</v>
      </c>
      <c r="C509" t="s">
        <v>121</v>
      </c>
      <c r="D509" t="s">
        <v>26</v>
      </c>
      <c r="E509">
        <v>12</v>
      </c>
      <c r="F509">
        <v>2940</v>
      </c>
      <c r="G509">
        <v>2940</v>
      </c>
      <c r="H509">
        <v>90</v>
      </c>
      <c r="I509">
        <v>264600</v>
      </c>
      <c r="J509">
        <v>39690</v>
      </c>
      <c r="K509">
        <v>304290</v>
      </c>
    </row>
    <row r="510" spans="1:11" x14ac:dyDescent="0.25">
      <c r="A510" s="1">
        <v>45841</v>
      </c>
      <c r="B510" t="s">
        <v>12</v>
      </c>
      <c r="C510" t="s">
        <v>189</v>
      </c>
      <c r="D510" t="s">
        <v>17</v>
      </c>
      <c r="E510">
        <v>12</v>
      </c>
      <c r="F510">
        <v>7</v>
      </c>
      <c r="G510">
        <v>7.89</v>
      </c>
      <c r="H510">
        <v>20000</v>
      </c>
      <c r="I510">
        <v>157800</v>
      </c>
      <c r="J510">
        <v>23670</v>
      </c>
      <c r="K510">
        <v>181470</v>
      </c>
    </row>
    <row r="511" spans="1:11" x14ac:dyDescent="0.25">
      <c r="A511" s="1">
        <v>45841</v>
      </c>
      <c r="B511" t="s">
        <v>39</v>
      </c>
      <c r="C511" t="s">
        <v>46</v>
      </c>
      <c r="D511" t="s">
        <v>27</v>
      </c>
      <c r="E511">
        <v>2</v>
      </c>
      <c r="F511">
        <v>0</v>
      </c>
      <c r="G511">
        <v>2</v>
      </c>
      <c r="H511">
        <v>2500</v>
      </c>
      <c r="I511">
        <v>5000</v>
      </c>
      <c r="J511">
        <v>750</v>
      </c>
      <c r="K511">
        <v>5750</v>
      </c>
    </row>
    <row r="512" spans="1:11" x14ac:dyDescent="0.25">
      <c r="A512" s="1">
        <v>45841</v>
      </c>
      <c r="B512" t="s">
        <v>39</v>
      </c>
      <c r="C512" t="s">
        <v>109</v>
      </c>
      <c r="D512" t="s">
        <v>27</v>
      </c>
      <c r="E512">
        <v>3</v>
      </c>
      <c r="F512">
        <v>0</v>
      </c>
      <c r="G512">
        <v>3</v>
      </c>
      <c r="H512">
        <v>2500</v>
      </c>
      <c r="I512">
        <v>7500</v>
      </c>
      <c r="J512">
        <v>1125</v>
      </c>
      <c r="K512">
        <v>8625</v>
      </c>
    </row>
    <row r="513" spans="1:11" x14ac:dyDescent="0.25">
      <c r="A513" s="1">
        <v>45841</v>
      </c>
      <c r="B513" t="s">
        <v>39</v>
      </c>
      <c r="C513" t="s">
        <v>53</v>
      </c>
      <c r="D513" t="s">
        <v>27</v>
      </c>
      <c r="E513">
        <v>3</v>
      </c>
      <c r="F513">
        <v>0</v>
      </c>
      <c r="G513">
        <v>3</v>
      </c>
      <c r="H513">
        <v>2500</v>
      </c>
      <c r="I513">
        <v>7500</v>
      </c>
      <c r="J513">
        <v>1125</v>
      </c>
      <c r="K513">
        <v>8625</v>
      </c>
    </row>
    <row r="514" spans="1:11" x14ac:dyDescent="0.25">
      <c r="A514" s="1">
        <v>45841</v>
      </c>
      <c r="B514" t="s">
        <v>20</v>
      </c>
      <c r="C514" t="s">
        <v>81</v>
      </c>
      <c r="D514" t="s">
        <v>59</v>
      </c>
      <c r="E514">
        <v>2</v>
      </c>
      <c r="F514">
        <v>10</v>
      </c>
      <c r="G514">
        <v>300</v>
      </c>
      <c r="H514">
        <v>90</v>
      </c>
      <c r="I514">
        <v>27000</v>
      </c>
      <c r="J514">
        <v>4050</v>
      </c>
      <c r="K514">
        <v>31050</v>
      </c>
    </row>
    <row r="515" spans="1:11" x14ac:dyDescent="0.25">
      <c r="A515" s="1">
        <v>45841</v>
      </c>
      <c r="B515" t="s">
        <v>39</v>
      </c>
      <c r="C515" t="s">
        <v>106</v>
      </c>
      <c r="D515" t="s">
        <v>27</v>
      </c>
      <c r="E515">
        <v>2</v>
      </c>
      <c r="F515">
        <v>0</v>
      </c>
      <c r="G515">
        <v>2</v>
      </c>
      <c r="H515">
        <v>2500</v>
      </c>
      <c r="I515">
        <v>5000</v>
      </c>
      <c r="J515">
        <v>750</v>
      </c>
      <c r="K515">
        <v>5750</v>
      </c>
    </row>
    <row r="516" spans="1:11" x14ac:dyDescent="0.25">
      <c r="A516" s="1">
        <v>45841</v>
      </c>
      <c r="B516" t="s">
        <v>42</v>
      </c>
      <c r="C516" t="s">
        <v>72</v>
      </c>
      <c r="D516" t="s">
        <v>17</v>
      </c>
      <c r="E516">
        <v>4</v>
      </c>
      <c r="F516">
        <v>1093</v>
      </c>
      <c r="G516">
        <v>1093</v>
      </c>
      <c r="H516">
        <v>70</v>
      </c>
      <c r="I516">
        <v>76510</v>
      </c>
      <c r="J516">
        <v>11476.5</v>
      </c>
      <c r="K516">
        <v>87986.5</v>
      </c>
    </row>
    <row r="517" spans="1:11" x14ac:dyDescent="0.25">
      <c r="A517" s="1">
        <v>45841</v>
      </c>
      <c r="B517" t="s">
        <v>39</v>
      </c>
      <c r="C517" t="s">
        <v>43</v>
      </c>
      <c r="D517" t="s">
        <v>27</v>
      </c>
      <c r="E517">
        <v>2</v>
      </c>
      <c r="F517">
        <v>0</v>
      </c>
      <c r="G517">
        <v>2</v>
      </c>
      <c r="H517">
        <v>2500</v>
      </c>
      <c r="I517">
        <v>5000</v>
      </c>
      <c r="J517">
        <v>750</v>
      </c>
      <c r="K517">
        <v>5750</v>
      </c>
    </row>
    <row r="518" spans="1:11" x14ac:dyDescent="0.25">
      <c r="A518" s="1">
        <v>45841</v>
      </c>
      <c r="B518" t="s">
        <v>60</v>
      </c>
      <c r="C518" t="s">
        <v>181</v>
      </c>
      <c r="G518">
        <v>22.38</v>
      </c>
      <c r="H518">
        <v>5000</v>
      </c>
      <c r="I518">
        <v>111900</v>
      </c>
      <c r="J518">
        <v>16785</v>
      </c>
      <c r="K518">
        <v>128685</v>
      </c>
    </row>
    <row r="519" spans="1:11" x14ac:dyDescent="0.25">
      <c r="A519" s="1">
        <v>45854</v>
      </c>
      <c r="B519" t="s">
        <v>44</v>
      </c>
      <c r="C519" t="s">
        <v>51</v>
      </c>
      <c r="D519" t="s">
        <v>32</v>
      </c>
      <c r="E519">
        <v>5</v>
      </c>
      <c r="F519">
        <v>675</v>
      </c>
      <c r="G519">
        <v>493</v>
      </c>
      <c r="H519">
        <v>70</v>
      </c>
      <c r="I519">
        <v>34510</v>
      </c>
      <c r="J519">
        <v>5176.5</v>
      </c>
      <c r="K519">
        <v>39686.5</v>
      </c>
    </row>
    <row r="520" spans="1:11" x14ac:dyDescent="0.25">
      <c r="A520" s="1">
        <v>45841</v>
      </c>
      <c r="B520" t="s">
        <v>168</v>
      </c>
      <c r="C520" t="s">
        <v>99</v>
      </c>
      <c r="G520">
        <v>21.26</v>
      </c>
      <c r="H520">
        <v>3500</v>
      </c>
      <c r="I520">
        <v>74410</v>
      </c>
      <c r="J520">
        <v>11161.5</v>
      </c>
      <c r="K520">
        <v>85571.5</v>
      </c>
    </row>
    <row r="521" spans="1:11" x14ac:dyDescent="0.25">
      <c r="A521" s="1">
        <v>45841</v>
      </c>
      <c r="B521" t="s">
        <v>20</v>
      </c>
      <c r="C521" t="s">
        <v>99</v>
      </c>
      <c r="D521" t="s">
        <v>14</v>
      </c>
      <c r="E521">
        <v>1</v>
      </c>
      <c r="F521">
        <v>500</v>
      </c>
      <c r="G521">
        <v>500</v>
      </c>
      <c r="H521">
        <v>90</v>
      </c>
      <c r="I521">
        <v>45000</v>
      </c>
      <c r="J521">
        <v>6750</v>
      </c>
      <c r="K521">
        <v>51750</v>
      </c>
    </row>
    <row r="522" spans="1:11" x14ac:dyDescent="0.25">
      <c r="A522" s="1">
        <v>45841</v>
      </c>
      <c r="B522" t="s">
        <v>42</v>
      </c>
      <c r="C522" t="s">
        <v>81</v>
      </c>
      <c r="D522" t="s">
        <v>32</v>
      </c>
      <c r="E522">
        <v>4</v>
      </c>
      <c r="F522">
        <v>1082</v>
      </c>
      <c r="G522">
        <v>1082</v>
      </c>
      <c r="H522">
        <v>70</v>
      </c>
      <c r="I522">
        <v>75740</v>
      </c>
      <c r="J522">
        <v>11361</v>
      </c>
      <c r="K522">
        <v>87101</v>
      </c>
    </row>
    <row r="523" spans="1:11" x14ac:dyDescent="0.25">
      <c r="A523" s="1">
        <v>45848</v>
      </c>
      <c r="B523" t="s">
        <v>42</v>
      </c>
      <c r="C523" t="s">
        <v>28</v>
      </c>
      <c r="D523" t="s">
        <v>26</v>
      </c>
      <c r="E523">
        <v>7</v>
      </c>
      <c r="F523">
        <v>627</v>
      </c>
      <c r="G523">
        <v>627</v>
      </c>
      <c r="H523">
        <v>70</v>
      </c>
      <c r="I523">
        <v>43890</v>
      </c>
      <c r="J523">
        <v>6583.5</v>
      </c>
      <c r="K523">
        <v>50473.5</v>
      </c>
    </row>
    <row r="524" spans="1:11" x14ac:dyDescent="0.25">
      <c r="A524" s="1">
        <v>45841</v>
      </c>
      <c r="B524" t="s">
        <v>190</v>
      </c>
      <c r="C524" t="s">
        <v>191</v>
      </c>
      <c r="D524" t="s">
        <v>14</v>
      </c>
      <c r="E524">
        <v>1</v>
      </c>
      <c r="F524">
        <v>0</v>
      </c>
      <c r="G524">
        <v>1</v>
      </c>
      <c r="H524">
        <v>3000</v>
      </c>
      <c r="I524">
        <v>3000</v>
      </c>
      <c r="J524">
        <v>450</v>
      </c>
      <c r="K524">
        <v>3450</v>
      </c>
    </row>
    <row r="525" spans="1:11" x14ac:dyDescent="0.25">
      <c r="A525" s="1">
        <v>45841</v>
      </c>
      <c r="B525" t="s">
        <v>20</v>
      </c>
      <c r="C525" t="s">
        <v>50</v>
      </c>
      <c r="D525" t="s">
        <v>17</v>
      </c>
      <c r="E525">
        <v>12</v>
      </c>
      <c r="F525">
        <v>642</v>
      </c>
      <c r="G525">
        <v>642</v>
      </c>
      <c r="H525">
        <v>90</v>
      </c>
      <c r="I525">
        <v>57780</v>
      </c>
      <c r="J525">
        <v>8667</v>
      </c>
      <c r="K525">
        <v>66447</v>
      </c>
    </row>
    <row r="526" spans="1:11" x14ac:dyDescent="0.25">
      <c r="A526" s="1">
        <v>45841</v>
      </c>
      <c r="B526" t="s">
        <v>20</v>
      </c>
      <c r="C526" t="s">
        <v>46</v>
      </c>
      <c r="D526" t="s">
        <v>14</v>
      </c>
      <c r="E526">
        <v>4</v>
      </c>
      <c r="F526">
        <v>500</v>
      </c>
      <c r="G526">
        <v>500</v>
      </c>
      <c r="H526">
        <v>90</v>
      </c>
      <c r="I526">
        <v>45000</v>
      </c>
      <c r="J526">
        <v>6750</v>
      </c>
      <c r="K526">
        <v>51750</v>
      </c>
    </row>
    <row r="527" spans="1:11" x14ac:dyDescent="0.25">
      <c r="A527" s="1">
        <v>45841</v>
      </c>
      <c r="B527" t="s">
        <v>42</v>
      </c>
      <c r="C527" t="s">
        <v>99</v>
      </c>
      <c r="D527" t="s">
        <v>17</v>
      </c>
      <c r="E527">
        <v>1</v>
      </c>
      <c r="F527">
        <v>1466</v>
      </c>
      <c r="G527">
        <v>1466</v>
      </c>
      <c r="H527">
        <v>70</v>
      </c>
      <c r="I527">
        <v>102620</v>
      </c>
      <c r="J527">
        <v>15393</v>
      </c>
      <c r="K527">
        <v>118013</v>
      </c>
    </row>
    <row r="528" spans="1:11" x14ac:dyDescent="0.25">
      <c r="A528" s="1">
        <v>45842</v>
      </c>
      <c r="B528" t="s">
        <v>39</v>
      </c>
      <c r="C528" t="s">
        <v>21</v>
      </c>
      <c r="D528" t="s">
        <v>27</v>
      </c>
      <c r="E528">
        <v>1</v>
      </c>
      <c r="F528">
        <v>0</v>
      </c>
      <c r="G528">
        <v>3</v>
      </c>
      <c r="H528">
        <v>2500</v>
      </c>
      <c r="I528">
        <v>7500</v>
      </c>
      <c r="J528">
        <v>1125</v>
      </c>
      <c r="K528">
        <v>8625</v>
      </c>
    </row>
    <row r="529" spans="1:11" x14ac:dyDescent="0.25">
      <c r="A529" s="1">
        <v>45842</v>
      </c>
      <c r="B529" t="s">
        <v>39</v>
      </c>
      <c r="C529" t="s">
        <v>111</v>
      </c>
      <c r="D529" t="s">
        <v>27</v>
      </c>
      <c r="E529">
        <v>1</v>
      </c>
      <c r="F529">
        <v>0</v>
      </c>
      <c r="G529">
        <v>1</v>
      </c>
      <c r="H529">
        <v>2500</v>
      </c>
      <c r="I529">
        <v>2500</v>
      </c>
      <c r="J529">
        <v>375</v>
      </c>
      <c r="K529">
        <v>2875</v>
      </c>
    </row>
    <row r="530" spans="1:11" x14ac:dyDescent="0.25">
      <c r="A530" s="1">
        <v>45842</v>
      </c>
      <c r="B530" t="s">
        <v>39</v>
      </c>
      <c r="C530" t="s">
        <v>50</v>
      </c>
      <c r="D530" t="s">
        <v>27</v>
      </c>
      <c r="E530">
        <v>3</v>
      </c>
      <c r="F530">
        <v>0</v>
      </c>
      <c r="G530">
        <v>1</v>
      </c>
      <c r="H530">
        <v>2500</v>
      </c>
      <c r="I530">
        <v>2500</v>
      </c>
      <c r="J530">
        <v>375</v>
      </c>
      <c r="K530">
        <v>2875</v>
      </c>
    </row>
    <row r="531" spans="1:11" x14ac:dyDescent="0.25">
      <c r="A531" s="1">
        <v>45842</v>
      </c>
      <c r="B531" t="s">
        <v>39</v>
      </c>
      <c r="C531" t="s">
        <v>192</v>
      </c>
      <c r="D531" t="s">
        <v>27</v>
      </c>
      <c r="E531">
        <v>3</v>
      </c>
      <c r="F531">
        <v>0</v>
      </c>
      <c r="G531">
        <v>3</v>
      </c>
      <c r="H531">
        <v>2500</v>
      </c>
      <c r="I531">
        <v>7500</v>
      </c>
      <c r="J531">
        <v>1125</v>
      </c>
      <c r="K531">
        <v>8625</v>
      </c>
    </row>
    <row r="532" spans="1:11" x14ac:dyDescent="0.25">
      <c r="A532" s="1">
        <v>45842</v>
      </c>
      <c r="B532" t="s">
        <v>39</v>
      </c>
      <c r="C532" t="s">
        <v>28</v>
      </c>
      <c r="D532" t="s">
        <v>32</v>
      </c>
      <c r="E532">
        <v>1</v>
      </c>
      <c r="F532">
        <v>0</v>
      </c>
      <c r="G532">
        <v>1</v>
      </c>
      <c r="H532">
        <v>2500</v>
      </c>
      <c r="I532">
        <v>2500</v>
      </c>
      <c r="J532">
        <v>375</v>
      </c>
      <c r="K532">
        <v>2875</v>
      </c>
    </row>
    <row r="533" spans="1:11" x14ac:dyDescent="0.25">
      <c r="A533" s="1">
        <v>45842</v>
      </c>
      <c r="B533" t="s">
        <v>80</v>
      </c>
      <c r="C533" t="s">
        <v>87</v>
      </c>
      <c r="D533" t="s">
        <v>26</v>
      </c>
      <c r="E533">
        <v>13</v>
      </c>
      <c r="F533">
        <v>225</v>
      </c>
      <c r="G533">
        <v>225</v>
      </c>
      <c r="H533">
        <v>70</v>
      </c>
      <c r="I533">
        <v>15750</v>
      </c>
      <c r="J533">
        <v>2362.5</v>
      </c>
      <c r="K533">
        <v>18112.5</v>
      </c>
    </row>
    <row r="534" spans="1:11" x14ac:dyDescent="0.25">
      <c r="A534" s="1">
        <v>45841</v>
      </c>
      <c r="B534" t="s">
        <v>42</v>
      </c>
      <c r="C534" t="s">
        <v>99</v>
      </c>
      <c r="D534" t="s">
        <v>32</v>
      </c>
      <c r="E534">
        <v>10</v>
      </c>
      <c r="F534">
        <v>606</v>
      </c>
      <c r="G534">
        <v>606</v>
      </c>
      <c r="H534">
        <v>70</v>
      </c>
      <c r="I534">
        <v>42420</v>
      </c>
      <c r="J534">
        <v>6363</v>
      </c>
      <c r="K534">
        <v>48783</v>
      </c>
    </row>
    <row r="535" spans="1:11" x14ac:dyDescent="0.25">
      <c r="A535" s="1">
        <v>45847</v>
      </c>
      <c r="B535" t="s">
        <v>42</v>
      </c>
      <c r="C535" t="s">
        <v>50</v>
      </c>
      <c r="D535" t="s">
        <v>26</v>
      </c>
      <c r="E535">
        <v>12</v>
      </c>
      <c r="F535">
        <v>1006</v>
      </c>
      <c r="G535">
        <v>1006</v>
      </c>
      <c r="H535">
        <v>70</v>
      </c>
      <c r="I535">
        <v>70420</v>
      </c>
      <c r="J535">
        <v>10563</v>
      </c>
      <c r="K535">
        <v>80983</v>
      </c>
    </row>
    <row r="536" spans="1:11" x14ac:dyDescent="0.25">
      <c r="A536" s="1">
        <v>45841</v>
      </c>
      <c r="B536" t="s">
        <v>42</v>
      </c>
      <c r="C536" t="s">
        <v>99</v>
      </c>
      <c r="D536" t="s">
        <v>27</v>
      </c>
      <c r="E536">
        <v>4</v>
      </c>
      <c r="F536">
        <v>130</v>
      </c>
      <c r="G536">
        <v>160</v>
      </c>
      <c r="H536">
        <v>70</v>
      </c>
      <c r="I536">
        <v>11200</v>
      </c>
      <c r="J536">
        <v>1680</v>
      </c>
      <c r="K536">
        <v>12880</v>
      </c>
    </row>
    <row r="537" spans="1:11" x14ac:dyDescent="0.25">
      <c r="A537" s="1">
        <v>45841</v>
      </c>
      <c r="B537" t="s">
        <v>42</v>
      </c>
      <c r="C537" t="s">
        <v>46</v>
      </c>
      <c r="D537" t="s">
        <v>17</v>
      </c>
      <c r="E537">
        <v>11</v>
      </c>
      <c r="F537">
        <v>605</v>
      </c>
      <c r="G537">
        <v>605</v>
      </c>
      <c r="H537">
        <v>70</v>
      </c>
      <c r="I537">
        <v>42350</v>
      </c>
      <c r="J537">
        <v>6352.5</v>
      </c>
      <c r="K537">
        <v>48702.5</v>
      </c>
    </row>
    <row r="538" spans="1:11" x14ac:dyDescent="0.25">
      <c r="A538" s="1">
        <v>45842</v>
      </c>
      <c r="B538" t="s">
        <v>42</v>
      </c>
      <c r="C538" t="s">
        <v>99</v>
      </c>
      <c r="D538" t="s">
        <v>19</v>
      </c>
      <c r="E538">
        <v>7</v>
      </c>
      <c r="F538">
        <v>50</v>
      </c>
      <c r="G538">
        <v>50</v>
      </c>
      <c r="H538">
        <v>70</v>
      </c>
      <c r="I538">
        <v>3500</v>
      </c>
      <c r="J538">
        <v>525</v>
      </c>
      <c r="K538">
        <v>4025</v>
      </c>
    </row>
    <row r="539" spans="1:11" x14ac:dyDescent="0.25">
      <c r="A539" s="1">
        <v>45842</v>
      </c>
      <c r="B539" t="s">
        <v>42</v>
      </c>
      <c r="C539" t="s">
        <v>46</v>
      </c>
      <c r="D539" t="s">
        <v>32</v>
      </c>
      <c r="E539">
        <v>12</v>
      </c>
      <c r="F539">
        <v>498</v>
      </c>
      <c r="G539">
        <v>498</v>
      </c>
      <c r="H539">
        <v>70</v>
      </c>
      <c r="I539">
        <v>34860</v>
      </c>
      <c r="J539">
        <v>5229</v>
      </c>
      <c r="K539">
        <v>40089</v>
      </c>
    </row>
    <row r="540" spans="1:11" x14ac:dyDescent="0.25">
      <c r="A540" s="1">
        <v>45857</v>
      </c>
      <c r="B540" t="s">
        <v>42</v>
      </c>
      <c r="C540" t="s">
        <v>126</v>
      </c>
      <c r="D540" t="s">
        <v>26</v>
      </c>
      <c r="E540">
        <v>5</v>
      </c>
      <c r="F540">
        <v>712</v>
      </c>
      <c r="G540">
        <v>712</v>
      </c>
      <c r="H540">
        <v>70</v>
      </c>
      <c r="I540">
        <v>49840</v>
      </c>
      <c r="J540">
        <v>7476</v>
      </c>
      <c r="K540">
        <v>57316</v>
      </c>
    </row>
    <row r="541" spans="1:11" x14ac:dyDescent="0.25">
      <c r="A541" s="1">
        <v>45843</v>
      </c>
      <c r="B541" t="s">
        <v>42</v>
      </c>
      <c r="C541" t="s">
        <v>46</v>
      </c>
      <c r="D541" t="s">
        <v>27</v>
      </c>
      <c r="E541">
        <v>6</v>
      </c>
      <c r="F541">
        <v>21</v>
      </c>
      <c r="G541">
        <v>21</v>
      </c>
      <c r="H541">
        <v>70</v>
      </c>
      <c r="I541">
        <v>1470</v>
      </c>
      <c r="J541">
        <v>220.5</v>
      </c>
      <c r="K541">
        <v>1690.5</v>
      </c>
    </row>
    <row r="542" spans="1:11" x14ac:dyDescent="0.25">
      <c r="A542" s="1">
        <v>45843</v>
      </c>
      <c r="B542" t="s">
        <v>42</v>
      </c>
      <c r="C542" t="s">
        <v>46</v>
      </c>
      <c r="D542" t="s">
        <v>19</v>
      </c>
      <c r="E542">
        <v>14</v>
      </c>
      <c r="F542">
        <v>236</v>
      </c>
      <c r="G542">
        <v>236</v>
      </c>
      <c r="H542">
        <v>70</v>
      </c>
      <c r="I542">
        <v>16520</v>
      </c>
      <c r="J542">
        <v>2478</v>
      </c>
      <c r="K542">
        <v>18998</v>
      </c>
    </row>
    <row r="543" spans="1:11" x14ac:dyDescent="0.25">
      <c r="A543" s="1">
        <v>45848</v>
      </c>
      <c r="B543" t="s">
        <v>42</v>
      </c>
      <c r="C543" t="s">
        <v>85</v>
      </c>
      <c r="D543" t="s">
        <v>26</v>
      </c>
      <c r="E543">
        <v>3</v>
      </c>
      <c r="F543">
        <v>1496</v>
      </c>
      <c r="G543">
        <v>1496</v>
      </c>
      <c r="H543">
        <v>70</v>
      </c>
      <c r="I543">
        <v>104720</v>
      </c>
      <c r="J543">
        <v>15708</v>
      </c>
      <c r="K543">
        <v>120428</v>
      </c>
    </row>
    <row r="544" spans="1:11" x14ac:dyDescent="0.25">
      <c r="A544" s="1">
        <v>45842</v>
      </c>
      <c r="B544" t="s">
        <v>80</v>
      </c>
      <c r="C544" t="s">
        <v>93</v>
      </c>
      <c r="D544" t="s">
        <v>193</v>
      </c>
      <c r="E544">
        <v>13</v>
      </c>
      <c r="F544">
        <v>2792</v>
      </c>
      <c r="G544">
        <v>2792</v>
      </c>
      <c r="H544">
        <v>100</v>
      </c>
      <c r="I544">
        <v>279200</v>
      </c>
      <c r="J544">
        <v>41880</v>
      </c>
      <c r="K544">
        <v>321080</v>
      </c>
    </row>
    <row r="545" spans="1:11" x14ac:dyDescent="0.25">
      <c r="A545" s="1">
        <v>45843</v>
      </c>
      <c r="B545" t="s">
        <v>42</v>
      </c>
      <c r="C545" t="s">
        <v>66</v>
      </c>
      <c r="D545" t="s">
        <v>27</v>
      </c>
      <c r="E545">
        <v>4</v>
      </c>
      <c r="F545">
        <v>143</v>
      </c>
      <c r="G545">
        <v>143</v>
      </c>
      <c r="H545">
        <v>70</v>
      </c>
      <c r="I545">
        <v>10010</v>
      </c>
      <c r="J545">
        <v>1501.5</v>
      </c>
      <c r="K545">
        <v>11511.5</v>
      </c>
    </row>
    <row r="546" spans="1:11" x14ac:dyDescent="0.25">
      <c r="A546" s="1">
        <v>45844</v>
      </c>
      <c r="B546" t="s">
        <v>42</v>
      </c>
      <c r="C546" t="s">
        <v>51</v>
      </c>
      <c r="D546" t="s">
        <v>17</v>
      </c>
      <c r="E546">
        <v>17</v>
      </c>
      <c r="F546">
        <v>744</v>
      </c>
      <c r="G546">
        <v>744</v>
      </c>
      <c r="H546">
        <v>70</v>
      </c>
      <c r="I546">
        <v>52080</v>
      </c>
      <c r="J546">
        <v>7812</v>
      </c>
      <c r="K546">
        <v>59892</v>
      </c>
    </row>
    <row r="547" spans="1:11" x14ac:dyDescent="0.25">
      <c r="A547" s="1">
        <v>45844</v>
      </c>
      <c r="B547" t="s">
        <v>42</v>
      </c>
      <c r="C547" t="s">
        <v>66</v>
      </c>
      <c r="D547" t="s">
        <v>19</v>
      </c>
      <c r="E547">
        <v>8</v>
      </c>
      <c r="F547">
        <v>310</v>
      </c>
      <c r="G547">
        <v>310</v>
      </c>
      <c r="H547">
        <v>70</v>
      </c>
      <c r="I547">
        <v>21700</v>
      </c>
      <c r="J547">
        <v>3255</v>
      </c>
      <c r="K547">
        <v>24955</v>
      </c>
    </row>
    <row r="548" spans="1:11" x14ac:dyDescent="0.25">
      <c r="A548" s="1">
        <v>45845</v>
      </c>
      <c r="B548" t="s">
        <v>42</v>
      </c>
      <c r="C548" t="s">
        <v>47</v>
      </c>
      <c r="D548" t="s">
        <v>27</v>
      </c>
      <c r="E548">
        <v>10</v>
      </c>
      <c r="F548">
        <v>70</v>
      </c>
      <c r="G548">
        <v>70</v>
      </c>
      <c r="H548">
        <v>70</v>
      </c>
      <c r="I548">
        <v>4900</v>
      </c>
      <c r="J548">
        <v>735</v>
      </c>
      <c r="K548">
        <v>5635</v>
      </c>
    </row>
    <row r="549" spans="1:11" x14ac:dyDescent="0.25">
      <c r="A549" s="1">
        <v>45842</v>
      </c>
      <c r="B549" t="s">
        <v>168</v>
      </c>
      <c r="C549" t="s">
        <v>194</v>
      </c>
      <c r="D549" t="s">
        <v>26</v>
      </c>
      <c r="E549">
        <v>5</v>
      </c>
      <c r="F549">
        <v>1</v>
      </c>
      <c r="G549">
        <v>23.88</v>
      </c>
      <c r="H549">
        <v>3500</v>
      </c>
      <c r="I549">
        <v>83580</v>
      </c>
      <c r="J549">
        <v>12537</v>
      </c>
      <c r="K549">
        <v>96117</v>
      </c>
    </row>
    <row r="550" spans="1:11" x14ac:dyDescent="0.25">
      <c r="A550" s="1">
        <v>45842</v>
      </c>
      <c r="B550" t="s">
        <v>70</v>
      </c>
      <c r="C550" t="s">
        <v>104</v>
      </c>
      <c r="D550" t="s">
        <v>11</v>
      </c>
      <c r="E550">
        <v>4</v>
      </c>
      <c r="F550">
        <v>2206</v>
      </c>
      <c r="G550">
        <v>2206</v>
      </c>
      <c r="H550">
        <v>90</v>
      </c>
      <c r="I550">
        <v>198540</v>
      </c>
      <c r="J550">
        <v>29781</v>
      </c>
      <c r="K550">
        <v>228321</v>
      </c>
    </row>
    <row r="551" spans="1:11" x14ac:dyDescent="0.25">
      <c r="A551" s="1">
        <v>45842</v>
      </c>
      <c r="B551" t="s">
        <v>20</v>
      </c>
      <c r="C551" t="s">
        <v>46</v>
      </c>
      <c r="D551" t="s">
        <v>59</v>
      </c>
      <c r="E551">
        <v>2</v>
      </c>
      <c r="F551">
        <v>10</v>
      </c>
      <c r="G551">
        <v>300</v>
      </c>
      <c r="H551">
        <v>90</v>
      </c>
      <c r="I551">
        <v>27000</v>
      </c>
      <c r="J551">
        <v>4050</v>
      </c>
      <c r="K551">
        <v>31050</v>
      </c>
    </row>
    <row r="552" spans="1:11" x14ac:dyDescent="0.25">
      <c r="A552" s="1">
        <v>45842</v>
      </c>
      <c r="B552" t="s">
        <v>20</v>
      </c>
      <c r="C552" t="s">
        <v>100</v>
      </c>
      <c r="D552" t="s">
        <v>32</v>
      </c>
      <c r="E552">
        <v>8</v>
      </c>
      <c r="F552">
        <v>176</v>
      </c>
      <c r="G552">
        <v>176</v>
      </c>
      <c r="H552">
        <v>90</v>
      </c>
      <c r="I552">
        <v>15840</v>
      </c>
      <c r="J552">
        <v>2376</v>
      </c>
      <c r="K552">
        <v>18216</v>
      </c>
    </row>
    <row r="553" spans="1:11" x14ac:dyDescent="0.25">
      <c r="A553" s="1">
        <v>45842</v>
      </c>
      <c r="B553" t="s">
        <v>168</v>
      </c>
      <c r="C553" t="s">
        <v>46</v>
      </c>
      <c r="D553" t="s">
        <v>26</v>
      </c>
      <c r="E553">
        <v>5</v>
      </c>
      <c r="F553">
        <v>1</v>
      </c>
      <c r="G553">
        <v>15.53</v>
      </c>
      <c r="H553">
        <v>3500</v>
      </c>
      <c r="I553">
        <v>54355</v>
      </c>
      <c r="J553">
        <v>8153.25</v>
      </c>
      <c r="K553">
        <v>62508.25</v>
      </c>
    </row>
    <row r="554" spans="1:11" x14ac:dyDescent="0.25">
      <c r="A554" s="1">
        <v>45840</v>
      </c>
      <c r="B554" t="s">
        <v>44</v>
      </c>
      <c r="C554" t="s">
        <v>46</v>
      </c>
      <c r="D554" t="s">
        <v>108</v>
      </c>
      <c r="E554">
        <v>12</v>
      </c>
      <c r="F554">
        <v>74</v>
      </c>
      <c r="G554">
        <v>74</v>
      </c>
      <c r="H554">
        <v>70</v>
      </c>
      <c r="I554">
        <v>5180</v>
      </c>
      <c r="J554">
        <v>777</v>
      </c>
      <c r="K554">
        <v>5957</v>
      </c>
    </row>
    <row r="555" spans="1:11" x14ac:dyDescent="0.25">
      <c r="A555" s="1">
        <v>45840</v>
      </c>
      <c r="B555" t="s">
        <v>44</v>
      </c>
      <c r="C555" t="s">
        <v>28</v>
      </c>
      <c r="D555" t="s">
        <v>108</v>
      </c>
      <c r="E555">
        <v>11</v>
      </c>
      <c r="F555">
        <v>8</v>
      </c>
      <c r="G555">
        <v>8</v>
      </c>
      <c r="H555">
        <v>70</v>
      </c>
      <c r="I555">
        <v>560</v>
      </c>
      <c r="J555">
        <v>84</v>
      </c>
      <c r="K555">
        <v>644</v>
      </c>
    </row>
    <row r="556" spans="1:11" x14ac:dyDescent="0.25">
      <c r="A556" s="1">
        <v>45840</v>
      </c>
      <c r="B556" t="s">
        <v>44</v>
      </c>
      <c r="C556" t="s">
        <v>47</v>
      </c>
      <c r="D556" t="s">
        <v>108</v>
      </c>
      <c r="E556">
        <v>5</v>
      </c>
      <c r="F556">
        <v>152</v>
      </c>
      <c r="G556">
        <v>152</v>
      </c>
      <c r="H556">
        <v>70</v>
      </c>
      <c r="I556">
        <v>10640</v>
      </c>
      <c r="J556">
        <v>1596</v>
      </c>
      <c r="K556">
        <v>12236</v>
      </c>
    </row>
    <row r="557" spans="1:11" x14ac:dyDescent="0.25">
      <c r="A557" s="1">
        <v>45840</v>
      </c>
      <c r="B557" t="s">
        <v>44</v>
      </c>
      <c r="C557" t="s">
        <v>48</v>
      </c>
      <c r="D557" t="s">
        <v>108</v>
      </c>
      <c r="E557">
        <v>6</v>
      </c>
      <c r="F557">
        <v>167</v>
      </c>
      <c r="G557">
        <v>167</v>
      </c>
      <c r="H557">
        <v>70</v>
      </c>
      <c r="I557">
        <v>11690</v>
      </c>
      <c r="J557">
        <v>1753.5</v>
      </c>
      <c r="K557">
        <v>13443.5</v>
      </c>
    </row>
    <row r="558" spans="1:11" x14ac:dyDescent="0.25">
      <c r="A558" s="1">
        <v>45840</v>
      </c>
      <c r="B558" t="s">
        <v>44</v>
      </c>
      <c r="C558" t="s">
        <v>49</v>
      </c>
      <c r="D558" t="s">
        <v>108</v>
      </c>
      <c r="E558">
        <v>7</v>
      </c>
      <c r="F558">
        <v>268</v>
      </c>
      <c r="G558">
        <v>268</v>
      </c>
      <c r="H558">
        <v>70</v>
      </c>
      <c r="I558">
        <v>18760</v>
      </c>
      <c r="J558">
        <v>2814</v>
      </c>
      <c r="K558">
        <v>21574</v>
      </c>
    </row>
    <row r="559" spans="1:11" x14ac:dyDescent="0.25">
      <c r="A559" s="1">
        <v>45840</v>
      </c>
      <c r="B559" t="s">
        <v>44</v>
      </c>
      <c r="C559" t="s">
        <v>29</v>
      </c>
      <c r="D559" t="s">
        <v>108</v>
      </c>
      <c r="E559">
        <v>8</v>
      </c>
      <c r="F559">
        <v>308</v>
      </c>
      <c r="G559">
        <v>308</v>
      </c>
      <c r="H559">
        <v>70</v>
      </c>
      <c r="I559">
        <v>21560</v>
      </c>
      <c r="J559">
        <v>3234</v>
      </c>
      <c r="K559">
        <v>24794</v>
      </c>
    </row>
    <row r="560" spans="1:11" x14ac:dyDescent="0.25">
      <c r="A560" s="1">
        <v>45840</v>
      </c>
      <c r="B560" t="s">
        <v>44</v>
      </c>
      <c r="C560" t="s">
        <v>51</v>
      </c>
      <c r="D560" t="s">
        <v>108</v>
      </c>
      <c r="E560">
        <v>4</v>
      </c>
      <c r="F560">
        <v>281</v>
      </c>
      <c r="G560">
        <v>281</v>
      </c>
      <c r="H560">
        <v>70</v>
      </c>
      <c r="I560">
        <v>19670</v>
      </c>
      <c r="J560">
        <v>2950.5</v>
      </c>
      <c r="K560">
        <v>22620.5</v>
      </c>
    </row>
    <row r="561" spans="1:11" x14ac:dyDescent="0.25">
      <c r="A561" s="1">
        <v>45840</v>
      </c>
      <c r="B561" t="s">
        <v>44</v>
      </c>
      <c r="C561" t="s">
        <v>52</v>
      </c>
      <c r="D561" t="s">
        <v>108</v>
      </c>
      <c r="E561">
        <v>6</v>
      </c>
      <c r="F561">
        <v>10</v>
      </c>
      <c r="G561">
        <v>120</v>
      </c>
      <c r="H561">
        <v>70</v>
      </c>
      <c r="I561">
        <v>8400</v>
      </c>
      <c r="J561">
        <v>1260</v>
      </c>
      <c r="K561">
        <v>9660</v>
      </c>
    </row>
    <row r="562" spans="1:11" x14ac:dyDescent="0.25">
      <c r="A562" s="1">
        <v>45840</v>
      </c>
      <c r="B562" t="s">
        <v>44</v>
      </c>
      <c r="C562" t="s">
        <v>160</v>
      </c>
      <c r="D562" t="s">
        <v>108</v>
      </c>
      <c r="E562">
        <v>7</v>
      </c>
      <c r="F562">
        <v>303</v>
      </c>
      <c r="G562">
        <v>303</v>
      </c>
      <c r="H562">
        <v>70</v>
      </c>
      <c r="I562">
        <v>21210</v>
      </c>
      <c r="J562">
        <v>3181.5</v>
      </c>
      <c r="K562">
        <v>24391.5</v>
      </c>
    </row>
    <row r="563" spans="1:11" x14ac:dyDescent="0.25">
      <c r="A563" s="1">
        <v>45842</v>
      </c>
      <c r="B563" t="s">
        <v>44</v>
      </c>
      <c r="C563" t="s">
        <v>29</v>
      </c>
      <c r="D563" t="s">
        <v>108</v>
      </c>
      <c r="E563">
        <v>6</v>
      </c>
      <c r="F563">
        <v>668</v>
      </c>
      <c r="G563">
        <v>668</v>
      </c>
      <c r="H563">
        <v>70</v>
      </c>
      <c r="I563">
        <v>46760</v>
      </c>
      <c r="J563">
        <v>7014</v>
      </c>
      <c r="K563">
        <v>53774</v>
      </c>
    </row>
    <row r="564" spans="1:11" x14ac:dyDescent="0.25">
      <c r="A564" s="1">
        <v>45838</v>
      </c>
      <c r="B564" t="s">
        <v>44</v>
      </c>
      <c r="C564" t="s">
        <v>157</v>
      </c>
      <c r="D564" t="s">
        <v>17</v>
      </c>
      <c r="E564">
        <v>5</v>
      </c>
      <c r="F564">
        <v>1140</v>
      </c>
      <c r="G564">
        <v>186</v>
      </c>
      <c r="H564">
        <v>70</v>
      </c>
      <c r="I564">
        <v>13020</v>
      </c>
      <c r="J564">
        <v>1953</v>
      </c>
      <c r="K564">
        <v>14973</v>
      </c>
    </row>
    <row r="565" spans="1:11" x14ac:dyDescent="0.25">
      <c r="A565" s="1">
        <v>45838</v>
      </c>
      <c r="B565" t="s">
        <v>44</v>
      </c>
      <c r="C565" t="s">
        <v>55</v>
      </c>
      <c r="D565" t="s">
        <v>17</v>
      </c>
      <c r="E565">
        <v>5</v>
      </c>
      <c r="F565">
        <v>1140</v>
      </c>
      <c r="G565">
        <v>143</v>
      </c>
      <c r="H565">
        <v>70</v>
      </c>
      <c r="I565">
        <v>10010</v>
      </c>
      <c r="J565">
        <v>1501.5</v>
      </c>
      <c r="K565">
        <v>11511.5</v>
      </c>
    </row>
    <row r="566" spans="1:11" x14ac:dyDescent="0.25">
      <c r="A566" s="1">
        <v>45838</v>
      </c>
      <c r="B566" t="s">
        <v>44</v>
      </c>
      <c r="C566" t="s">
        <v>46</v>
      </c>
      <c r="D566" t="s">
        <v>17</v>
      </c>
      <c r="E566">
        <v>5</v>
      </c>
      <c r="F566">
        <v>970</v>
      </c>
      <c r="G566">
        <v>970</v>
      </c>
      <c r="H566">
        <v>70</v>
      </c>
      <c r="I566">
        <v>67900</v>
      </c>
      <c r="J566">
        <v>10185</v>
      </c>
      <c r="K566">
        <v>78085</v>
      </c>
    </row>
    <row r="567" spans="1:11" x14ac:dyDescent="0.25">
      <c r="A567" s="1">
        <v>45842</v>
      </c>
      <c r="B567" t="s">
        <v>44</v>
      </c>
      <c r="C567" t="s">
        <v>41</v>
      </c>
      <c r="D567" t="s">
        <v>17</v>
      </c>
      <c r="E567">
        <v>4</v>
      </c>
      <c r="F567">
        <v>6</v>
      </c>
      <c r="G567">
        <v>1140</v>
      </c>
      <c r="H567">
        <v>70</v>
      </c>
      <c r="I567">
        <v>79800</v>
      </c>
      <c r="J567">
        <v>11970</v>
      </c>
      <c r="K567">
        <v>91770</v>
      </c>
    </row>
    <row r="568" spans="1:11" x14ac:dyDescent="0.25">
      <c r="A568" s="1">
        <v>45854</v>
      </c>
      <c r="B568" t="s">
        <v>44</v>
      </c>
      <c r="C568" t="s">
        <v>160</v>
      </c>
      <c r="D568" t="s">
        <v>32</v>
      </c>
      <c r="E568">
        <v>8</v>
      </c>
      <c r="F568">
        <v>1104</v>
      </c>
      <c r="G568">
        <v>181</v>
      </c>
      <c r="H568">
        <v>70</v>
      </c>
      <c r="I568">
        <v>12670</v>
      </c>
      <c r="J568">
        <v>1900.5</v>
      </c>
      <c r="K568">
        <v>14570.5</v>
      </c>
    </row>
    <row r="569" spans="1:11" x14ac:dyDescent="0.25">
      <c r="A569" s="1">
        <v>45843</v>
      </c>
      <c r="B569" t="s">
        <v>70</v>
      </c>
      <c r="C569" t="s">
        <v>53</v>
      </c>
      <c r="D569" t="s">
        <v>26</v>
      </c>
      <c r="E569">
        <v>15</v>
      </c>
      <c r="F569">
        <v>4729</v>
      </c>
      <c r="G569">
        <v>4729</v>
      </c>
      <c r="H569">
        <v>90</v>
      </c>
      <c r="I569">
        <v>425610</v>
      </c>
      <c r="J569">
        <v>63841.5</v>
      </c>
      <c r="K569">
        <v>489451.5</v>
      </c>
    </row>
    <row r="570" spans="1:11" x14ac:dyDescent="0.25">
      <c r="A570" s="1">
        <v>45843</v>
      </c>
      <c r="B570" t="s">
        <v>20</v>
      </c>
      <c r="C570" t="s">
        <v>99</v>
      </c>
      <c r="D570" t="s">
        <v>22</v>
      </c>
      <c r="E570">
        <v>3</v>
      </c>
      <c r="F570">
        <v>73</v>
      </c>
      <c r="G570">
        <v>73</v>
      </c>
      <c r="H570">
        <v>90</v>
      </c>
      <c r="I570">
        <v>6570</v>
      </c>
      <c r="J570">
        <v>985.5</v>
      </c>
      <c r="K570">
        <v>7555.5</v>
      </c>
    </row>
    <row r="571" spans="1:11" x14ac:dyDescent="0.25">
      <c r="A571" s="1">
        <v>45843</v>
      </c>
      <c r="B571" t="s">
        <v>20</v>
      </c>
      <c r="C571" t="s">
        <v>99</v>
      </c>
      <c r="D571" t="s">
        <v>17</v>
      </c>
      <c r="E571">
        <v>11</v>
      </c>
      <c r="F571">
        <v>100</v>
      </c>
      <c r="G571">
        <v>100</v>
      </c>
      <c r="H571">
        <v>90</v>
      </c>
      <c r="I571">
        <v>9000</v>
      </c>
      <c r="J571">
        <v>1350</v>
      </c>
      <c r="K571">
        <v>10350</v>
      </c>
    </row>
    <row r="572" spans="1:11" x14ac:dyDescent="0.25">
      <c r="A572" s="1">
        <v>45845</v>
      </c>
      <c r="B572" t="s">
        <v>42</v>
      </c>
      <c r="C572" t="s">
        <v>47</v>
      </c>
      <c r="D572" t="s">
        <v>17</v>
      </c>
      <c r="E572">
        <v>10</v>
      </c>
      <c r="F572">
        <v>593</v>
      </c>
      <c r="G572">
        <v>593</v>
      </c>
      <c r="H572">
        <v>70</v>
      </c>
      <c r="I572">
        <v>41510</v>
      </c>
      <c r="J572">
        <v>6226.5</v>
      </c>
      <c r="K572">
        <v>47736.5</v>
      </c>
    </row>
    <row r="573" spans="1:11" x14ac:dyDescent="0.25">
      <c r="A573" s="1">
        <v>45843</v>
      </c>
      <c r="B573" t="s">
        <v>168</v>
      </c>
      <c r="C573" t="s">
        <v>28</v>
      </c>
      <c r="D573" t="s">
        <v>57</v>
      </c>
      <c r="E573">
        <v>7</v>
      </c>
      <c r="F573">
        <v>1</v>
      </c>
      <c r="G573">
        <v>22.58</v>
      </c>
      <c r="H573">
        <v>3500</v>
      </c>
      <c r="I573">
        <v>79030</v>
      </c>
      <c r="J573">
        <v>11854.5</v>
      </c>
      <c r="K573">
        <v>90884.5</v>
      </c>
    </row>
    <row r="574" spans="1:11" x14ac:dyDescent="0.25">
      <c r="A574" s="1">
        <v>45841</v>
      </c>
      <c r="B574" t="s">
        <v>20</v>
      </c>
      <c r="C574" t="s">
        <v>50</v>
      </c>
      <c r="D574" t="s">
        <v>59</v>
      </c>
      <c r="E574">
        <v>2</v>
      </c>
      <c r="F574">
        <v>10</v>
      </c>
      <c r="G574">
        <v>200</v>
      </c>
      <c r="H574">
        <v>90</v>
      </c>
      <c r="I574">
        <v>18000</v>
      </c>
      <c r="J574">
        <v>2700</v>
      </c>
      <c r="K574">
        <v>20700</v>
      </c>
    </row>
    <row r="575" spans="1:11" x14ac:dyDescent="0.25">
      <c r="A575" s="1">
        <v>45841</v>
      </c>
      <c r="B575" t="s">
        <v>20</v>
      </c>
      <c r="C575" t="s">
        <v>50</v>
      </c>
      <c r="D575" t="s">
        <v>14</v>
      </c>
      <c r="E575">
        <v>5</v>
      </c>
      <c r="F575">
        <v>500</v>
      </c>
      <c r="G575">
        <v>500</v>
      </c>
      <c r="H575">
        <v>90</v>
      </c>
      <c r="I575">
        <v>45000</v>
      </c>
      <c r="J575">
        <v>6750</v>
      </c>
      <c r="K575">
        <v>51750</v>
      </c>
    </row>
    <row r="576" spans="1:11" x14ac:dyDescent="0.25">
      <c r="A576" s="1">
        <v>45843</v>
      </c>
      <c r="B576" t="s">
        <v>20</v>
      </c>
      <c r="C576" t="s">
        <v>28</v>
      </c>
      <c r="D576" t="s">
        <v>32</v>
      </c>
      <c r="E576">
        <v>19</v>
      </c>
      <c r="F576">
        <v>317</v>
      </c>
      <c r="G576">
        <v>317</v>
      </c>
      <c r="H576">
        <v>90</v>
      </c>
      <c r="I576">
        <v>28530</v>
      </c>
      <c r="J576">
        <v>4279.5</v>
      </c>
      <c r="K576">
        <v>32809.5</v>
      </c>
    </row>
    <row r="577" spans="1:11" x14ac:dyDescent="0.25">
      <c r="A577" s="1">
        <v>45843</v>
      </c>
      <c r="B577" t="s">
        <v>20</v>
      </c>
      <c r="C577" t="s">
        <v>28</v>
      </c>
      <c r="D577" t="s">
        <v>24</v>
      </c>
      <c r="E577">
        <v>2</v>
      </c>
      <c r="F577">
        <v>504</v>
      </c>
      <c r="G577">
        <v>504</v>
      </c>
      <c r="H577">
        <v>90</v>
      </c>
      <c r="I577">
        <v>45360</v>
      </c>
      <c r="J577">
        <v>6804</v>
      </c>
      <c r="K577">
        <v>52164</v>
      </c>
    </row>
    <row r="578" spans="1:11" x14ac:dyDescent="0.25">
      <c r="A578" s="1">
        <v>45845</v>
      </c>
      <c r="B578" t="s">
        <v>42</v>
      </c>
      <c r="C578" t="s">
        <v>51</v>
      </c>
      <c r="D578" t="s">
        <v>32</v>
      </c>
      <c r="E578">
        <v>5</v>
      </c>
      <c r="F578">
        <v>987</v>
      </c>
      <c r="G578">
        <v>987</v>
      </c>
      <c r="H578">
        <v>70</v>
      </c>
      <c r="I578">
        <v>69090</v>
      </c>
      <c r="J578">
        <v>10363.5</v>
      </c>
      <c r="K578">
        <v>79453.5</v>
      </c>
    </row>
    <row r="579" spans="1:11" x14ac:dyDescent="0.25">
      <c r="A579" s="1">
        <v>45849</v>
      </c>
      <c r="B579" t="s">
        <v>42</v>
      </c>
      <c r="C579" t="s">
        <v>49</v>
      </c>
      <c r="D579" t="s">
        <v>26</v>
      </c>
      <c r="E579">
        <v>8</v>
      </c>
      <c r="F579">
        <v>672</v>
      </c>
      <c r="G579">
        <v>672</v>
      </c>
      <c r="H579">
        <v>70</v>
      </c>
      <c r="I579">
        <v>47040</v>
      </c>
      <c r="J579">
        <v>7056</v>
      </c>
      <c r="K579">
        <v>54096</v>
      </c>
    </row>
    <row r="580" spans="1:11" x14ac:dyDescent="0.25">
      <c r="A580" s="1">
        <v>45843</v>
      </c>
      <c r="B580" t="s">
        <v>168</v>
      </c>
      <c r="C580" t="s">
        <v>163</v>
      </c>
      <c r="D580" t="s">
        <v>26</v>
      </c>
      <c r="E580">
        <v>6</v>
      </c>
      <c r="F580">
        <v>1</v>
      </c>
      <c r="G580">
        <v>21.65</v>
      </c>
      <c r="H580">
        <v>3500</v>
      </c>
      <c r="I580">
        <v>75775</v>
      </c>
      <c r="J580">
        <v>11366.25</v>
      </c>
      <c r="K580">
        <v>87141.25</v>
      </c>
    </row>
    <row r="581" spans="1:11" x14ac:dyDescent="0.25">
      <c r="A581" s="1">
        <v>45843</v>
      </c>
      <c r="B581" t="s">
        <v>20</v>
      </c>
      <c r="C581" t="s">
        <v>46</v>
      </c>
      <c r="D581" t="s">
        <v>22</v>
      </c>
      <c r="E581">
        <v>3</v>
      </c>
      <c r="F581">
        <v>400</v>
      </c>
      <c r="G581">
        <v>400</v>
      </c>
      <c r="H581">
        <v>90</v>
      </c>
      <c r="I581">
        <v>36000</v>
      </c>
      <c r="J581">
        <v>5400</v>
      </c>
      <c r="K581">
        <v>41400</v>
      </c>
    </row>
    <row r="582" spans="1:11" x14ac:dyDescent="0.25">
      <c r="A582" s="1">
        <v>45843</v>
      </c>
      <c r="B582" t="s">
        <v>20</v>
      </c>
      <c r="C582" t="s">
        <v>46</v>
      </c>
      <c r="D582" t="s">
        <v>24</v>
      </c>
      <c r="E582">
        <v>13</v>
      </c>
      <c r="F582">
        <v>474</v>
      </c>
      <c r="G582">
        <v>474</v>
      </c>
      <c r="H582">
        <v>90</v>
      </c>
      <c r="I582">
        <v>42660</v>
      </c>
      <c r="J582">
        <v>6399</v>
      </c>
      <c r="K582">
        <v>49059</v>
      </c>
    </row>
    <row r="583" spans="1:11" x14ac:dyDescent="0.25">
      <c r="A583" s="1">
        <v>45843</v>
      </c>
      <c r="B583" t="s">
        <v>44</v>
      </c>
      <c r="C583" t="s">
        <v>56</v>
      </c>
      <c r="D583" t="s">
        <v>88</v>
      </c>
      <c r="E583">
        <v>8</v>
      </c>
      <c r="F583">
        <v>930</v>
      </c>
      <c r="G583">
        <v>930</v>
      </c>
      <c r="H583">
        <v>70</v>
      </c>
      <c r="I583">
        <v>65100</v>
      </c>
      <c r="J583">
        <v>9765</v>
      </c>
      <c r="K583">
        <v>74865</v>
      </c>
    </row>
    <row r="584" spans="1:11" x14ac:dyDescent="0.25">
      <c r="A584" s="1">
        <v>45845</v>
      </c>
      <c r="B584" t="s">
        <v>42</v>
      </c>
      <c r="C584" t="s">
        <v>51</v>
      </c>
      <c r="D584" t="s">
        <v>19</v>
      </c>
      <c r="E584">
        <v>6</v>
      </c>
      <c r="F584">
        <v>100</v>
      </c>
      <c r="G584">
        <v>100</v>
      </c>
      <c r="H584">
        <v>70</v>
      </c>
      <c r="I584">
        <v>7000</v>
      </c>
      <c r="J584">
        <v>1050</v>
      </c>
      <c r="K584">
        <v>8050</v>
      </c>
    </row>
    <row r="585" spans="1:11" x14ac:dyDescent="0.25">
      <c r="A585" s="1">
        <v>45852</v>
      </c>
      <c r="B585" t="s">
        <v>65</v>
      </c>
      <c r="C585" t="s">
        <v>49</v>
      </c>
      <c r="D585" t="s">
        <v>17</v>
      </c>
      <c r="E585">
        <v>7</v>
      </c>
      <c r="F585">
        <v>37</v>
      </c>
      <c r="G585">
        <v>37</v>
      </c>
      <c r="H585">
        <v>70</v>
      </c>
      <c r="I585">
        <v>2590</v>
      </c>
      <c r="J585">
        <v>388.5</v>
      </c>
      <c r="K585">
        <v>2978.5</v>
      </c>
    </row>
    <row r="586" spans="1:11" x14ac:dyDescent="0.25">
      <c r="A586" s="1">
        <v>45843</v>
      </c>
      <c r="B586" t="s">
        <v>65</v>
      </c>
      <c r="C586" t="s">
        <v>18</v>
      </c>
      <c r="D586" t="s">
        <v>14</v>
      </c>
      <c r="E586">
        <v>13</v>
      </c>
      <c r="F586">
        <v>1000</v>
      </c>
      <c r="G586">
        <v>1000</v>
      </c>
      <c r="H586">
        <v>70</v>
      </c>
      <c r="I586">
        <v>70000</v>
      </c>
      <c r="J586">
        <v>10500</v>
      </c>
      <c r="K586">
        <v>80500</v>
      </c>
    </row>
    <row r="587" spans="1:11" x14ac:dyDescent="0.25">
      <c r="A587" s="1">
        <v>45843</v>
      </c>
      <c r="B587" t="s">
        <v>65</v>
      </c>
      <c r="C587" t="s">
        <v>18</v>
      </c>
      <c r="D587" t="s">
        <v>59</v>
      </c>
      <c r="E587">
        <v>6</v>
      </c>
      <c r="F587">
        <v>7</v>
      </c>
      <c r="G587">
        <v>1000</v>
      </c>
      <c r="H587">
        <v>70</v>
      </c>
      <c r="I587">
        <v>70000</v>
      </c>
      <c r="J587">
        <v>10500</v>
      </c>
      <c r="K587">
        <v>80500</v>
      </c>
    </row>
    <row r="588" spans="1:11" x14ac:dyDescent="0.25">
      <c r="A588" s="1">
        <v>45834</v>
      </c>
      <c r="B588" t="s">
        <v>65</v>
      </c>
      <c r="C588" t="s">
        <v>16</v>
      </c>
      <c r="D588" t="s">
        <v>32</v>
      </c>
      <c r="E588">
        <v>9</v>
      </c>
      <c r="F588">
        <v>403</v>
      </c>
      <c r="G588">
        <v>403</v>
      </c>
      <c r="H588">
        <v>70</v>
      </c>
      <c r="I588">
        <v>28210</v>
      </c>
      <c r="J588">
        <v>4231.5</v>
      </c>
      <c r="K588">
        <v>32441.5</v>
      </c>
    </row>
    <row r="589" spans="1:11" x14ac:dyDescent="0.25">
      <c r="A589" s="1">
        <v>45852</v>
      </c>
      <c r="B589" t="s">
        <v>65</v>
      </c>
      <c r="C589" t="s">
        <v>109</v>
      </c>
      <c r="D589" t="s">
        <v>24</v>
      </c>
      <c r="E589">
        <v>8</v>
      </c>
      <c r="F589">
        <v>1420</v>
      </c>
      <c r="G589">
        <v>1420</v>
      </c>
      <c r="H589">
        <v>70</v>
      </c>
      <c r="I589">
        <v>99400</v>
      </c>
      <c r="J589">
        <v>14910</v>
      </c>
      <c r="K589">
        <v>114310</v>
      </c>
    </row>
    <row r="590" spans="1:11" x14ac:dyDescent="0.25">
      <c r="A590" s="1">
        <v>45846</v>
      </c>
      <c r="B590" t="s">
        <v>65</v>
      </c>
      <c r="C590" t="s">
        <v>52</v>
      </c>
      <c r="D590" t="s">
        <v>24</v>
      </c>
      <c r="E590">
        <v>12</v>
      </c>
      <c r="F590">
        <v>900</v>
      </c>
      <c r="G590">
        <v>900</v>
      </c>
      <c r="H590">
        <v>70</v>
      </c>
      <c r="I590">
        <v>63000</v>
      </c>
      <c r="J590">
        <v>9450</v>
      </c>
      <c r="K590">
        <v>72450</v>
      </c>
    </row>
    <row r="591" spans="1:11" x14ac:dyDescent="0.25">
      <c r="A591" s="1">
        <v>45834</v>
      </c>
      <c r="B591" t="s">
        <v>65</v>
      </c>
      <c r="C591" t="s">
        <v>16</v>
      </c>
      <c r="D591" t="s">
        <v>14</v>
      </c>
      <c r="E591">
        <v>5</v>
      </c>
      <c r="F591">
        <v>1165</v>
      </c>
      <c r="G591">
        <v>1165</v>
      </c>
      <c r="H591">
        <v>70</v>
      </c>
      <c r="I591">
        <v>81550</v>
      </c>
      <c r="J591">
        <v>12232.5</v>
      </c>
      <c r="K591">
        <v>93782.5</v>
      </c>
    </row>
    <row r="592" spans="1:11" x14ac:dyDescent="0.25">
      <c r="A592" s="1">
        <v>45834</v>
      </c>
      <c r="B592" t="s">
        <v>65</v>
      </c>
      <c r="C592" t="s">
        <v>16</v>
      </c>
      <c r="D592" t="s">
        <v>59</v>
      </c>
      <c r="E592">
        <v>5</v>
      </c>
      <c r="F592">
        <v>7</v>
      </c>
      <c r="G592">
        <v>1233</v>
      </c>
      <c r="H592">
        <v>70</v>
      </c>
      <c r="I592">
        <v>86310</v>
      </c>
      <c r="J592">
        <v>12946.5</v>
      </c>
      <c r="K592">
        <v>99256.5</v>
      </c>
    </row>
    <row r="593" spans="1:11" x14ac:dyDescent="0.25">
      <c r="A593" s="1">
        <v>45843</v>
      </c>
      <c r="B593" t="s">
        <v>65</v>
      </c>
      <c r="C593" t="s">
        <v>46</v>
      </c>
      <c r="D593" t="s">
        <v>59</v>
      </c>
      <c r="E593">
        <v>8</v>
      </c>
      <c r="F593">
        <v>8</v>
      </c>
      <c r="G593">
        <v>700</v>
      </c>
      <c r="H593">
        <v>70</v>
      </c>
      <c r="I593">
        <v>49000</v>
      </c>
      <c r="J593">
        <v>7350</v>
      </c>
      <c r="K593">
        <v>56350</v>
      </c>
    </row>
    <row r="594" spans="1:11" x14ac:dyDescent="0.25">
      <c r="A594" s="1">
        <v>45844</v>
      </c>
      <c r="B594" t="s">
        <v>20</v>
      </c>
      <c r="C594" t="s">
        <v>13</v>
      </c>
      <c r="D594" t="s">
        <v>32</v>
      </c>
      <c r="E594">
        <v>7</v>
      </c>
      <c r="F594">
        <v>956</v>
      </c>
      <c r="G594">
        <v>956</v>
      </c>
      <c r="H594">
        <v>90</v>
      </c>
      <c r="I594">
        <v>86040</v>
      </c>
      <c r="J594">
        <v>12906</v>
      </c>
      <c r="K594">
        <v>98946</v>
      </c>
    </row>
    <row r="595" spans="1:11" x14ac:dyDescent="0.25">
      <c r="A595" s="1">
        <v>45844</v>
      </c>
      <c r="B595" t="s">
        <v>20</v>
      </c>
      <c r="C595" t="s">
        <v>13</v>
      </c>
      <c r="D595" t="s">
        <v>24</v>
      </c>
      <c r="E595">
        <v>7</v>
      </c>
      <c r="F595">
        <v>303</v>
      </c>
      <c r="G595">
        <v>303</v>
      </c>
      <c r="H595">
        <v>90</v>
      </c>
      <c r="I595">
        <v>27270</v>
      </c>
      <c r="J595">
        <v>4090.5</v>
      </c>
      <c r="K595">
        <v>31360.5</v>
      </c>
    </row>
    <row r="596" spans="1:11" x14ac:dyDescent="0.25">
      <c r="A596" s="1">
        <v>45848</v>
      </c>
      <c r="B596" t="s">
        <v>20</v>
      </c>
      <c r="C596" t="s">
        <v>109</v>
      </c>
      <c r="D596" t="s">
        <v>19</v>
      </c>
      <c r="E596">
        <v>8</v>
      </c>
      <c r="F596">
        <v>8</v>
      </c>
      <c r="G596">
        <v>500</v>
      </c>
      <c r="H596">
        <v>90</v>
      </c>
      <c r="I596">
        <v>45000</v>
      </c>
      <c r="J596">
        <v>6750</v>
      </c>
      <c r="K596">
        <v>51750</v>
      </c>
    </row>
    <row r="597" spans="1:11" x14ac:dyDescent="0.25">
      <c r="A597" s="1">
        <v>45846</v>
      </c>
      <c r="B597" t="s">
        <v>42</v>
      </c>
      <c r="C597" t="s">
        <v>114</v>
      </c>
      <c r="D597" t="s">
        <v>26</v>
      </c>
      <c r="E597">
        <v>8</v>
      </c>
      <c r="F597">
        <v>745</v>
      </c>
      <c r="G597">
        <v>745</v>
      </c>
      <c r="H597">
        <v>70</v>
      </c>
      <c r="I597">
        <v>52150</v>
      </c>
      <c r="J597">
        <v>7822.5</v>
      </c>
      <c r="K597">
        <v>59972.5</v>
      </c>
    </row>
    <row r="598" spans="1:11" x14ac:dyDescent="0.25">
      <c r="A598" s="1">
        <v>45844</v>
      </c>
      <c r="B598" t="s">
        <v>20</v>
      </c>
      <c r="C598" t="s">
        <v>51</v>
      </c>
      <c r="D598" t="s">
        <v>32</v>
      </c>
      <c r="E598">
        <v>12</v>
      </c>
      <c r="F598">
        <v>478</v>
      </c>
      <c r="G598">
        <v>478</v>
      </c>
      <c r="H598">
        <v>90</v>
      </c>
      <c r="I598">
        <v>43020</v>
      </c>
      <c r="J598">
        <v>6453</v>
      </c>
      <c r="K598">
        <v>49473</v>
      </c>
    </row>
    <row r="599" spans="1:11" x14ac:dyDescent="0.25">
      <c r="A599" s="1">
        <v>45844</v>
      </c>
      <c r="B599" t="s">
        <v>20</v>
      </c>
      <c r="C599" t="s">
        <v>51</v>
      </c>
      <c r="D599" t="s">
        <v>24</v>
      </c>
      <c r="E599">
        <v>4</v>
      </c>
      <c r="F599">
        <v>873</v>
      </c>
      <c r="G599">
        <v>873</v>
      </c>
      <c r="H599">
        <v>90</v>
      </c>
      <c r="I599">
        <v>78570</v>
      </c>
      <c r="J599">
        <v>11785.5</v>
      </c>
      <c r="K599">
        <v>90355.5</v>
      </c>
    </row>
    <row r="600" spans="1:11" x14ac:dyDescent="0.25">
      <c r="A600" s="1">
        <v>45849</v>
      </c>
      <c r="B600" t="s">
        <v>20</v>
      </c>
      <c r="C600" t="s">
        <v>53</v>
      </c>
      <c r="D600" t="s">
        <v>19</v>
      </c>
      <c r="E600">
        <v>9</v>
      </c>
      <c r="F600">
        <v>9</v>
      </c>
      <c r="G600">
        <v>92</v>
      </c>
      <c r="H600">
        <v>90</v>
      </c>
      <c r="I600">
        <v>8280</v>
      </c>
      <c r="J600">
        <v>1242</v>
      </c>
      <c r="K600">
        <v>9522</v>
      </c>
    </row>
    <row r="601" spans="1:11" x14ac:dyDescent="0.25">
      <c r="A601" s="1">
        <v>45845</v>
      </c>
      <c r="B601" t="s">
        <v>42</v>
      </c>
      <c r="C601" t="s">
        <v>13</v>
      </c>
      <c r="D601" t="s">
        <v>17</v>
      </c>
      <c r="E601">
        <v>10</v>
      </c>
      <c r="F601">
        <v>1029</v>
      </c>
      <c r="G601">
        <v>1029</v>
      </c>
      <c r="H601">
        <v>70</v>
      </c>
      <c r="I601">
        <v>72030</v>
      </c>
      <c r="J601">
        <v>10804.5</v>
      </c>
      <c r="K601">
        <v>82834.5</v>
      </c>
    </row>
    <row r="602" spans="1:11" x14ac:dyDescent="0.25">
      <c r="A602" s="1">
        <v>45844</v>
      </c>
      <c r="B602" t="s">
        <v>60</v>
      </c>
      <c r="C602" t="s">
        <v>148</v>
      </c>
      <c r="G602">
        <v>22.2</v>
      </c>
      <c r="H602">
        <v>5000</v>
      </c>
      <c r="I602">
        <v>111000</v>
      </c>
      <c r="J602">
        <v>16650</v>
      </c>
      <c r="K602">
        <v>127650</v>
      </c>
    </row>
    <row r="603" spans="1:11" x14ac:dyDescent="0.25">
      <c r="A603" s="1">
        <v>45845</v>
      </c>
      <c r="B603" t="s">
        <v>36</v>
      </c>
      <c r="C603" t="s">
        <v>16</v>
      </c>
      <c r="D603" t="s">
        <v>19</v>
      </c>
      <c r="E603">
        <v>4</v>
      </c>
      <c r="F603">
        <v>7</v>
      </c>
      <c r="G603">
        <v>10</v>
      </c>
      <c r="H603">
        <v>2400</v>
      </c>
      <c r="I603">
        <v>24000</v>
      </c>
      <c r="J603">
        <v>3600</v>
      </c>
      <c r="K603">
        <v>27600</v>
      </c>
    </row>
    <row r="604" spans="1:11" x14ac:dyDescent="0.25">
      <c r="A604" s="1">
        <v>45846</v>
      </c>
      <c r="B604" t="s">
        <v>42</v>
      </c>
      <c r="C604" t="s">
        <v>49</v>
      </c>
      <c r="D604" t="s">
        <v>17</v>
      </c>
      <c r="E604">
        <v>9</v>
      </c>
      <c r="F604">
        <v>1560</v>
      </c>
      <c r="G604">
        <v>1560</v>
      </c>
      <c r="H604">
        <v>70</v>
      </c>
      <c r="I604">
        <v>109200</v>
      </c>
      <c r="J604">
        <v>16380</v>
      </c>
      <c r="K604">
        <v>125580</v>
      </c>
    </row>
    <row r="605" spans="1:11" x14ac:dyDescent="0.25">
      <c r="A605" s="1">
        <v>45846</v>
      </c>
      <c r="B605" t="s">
        <v>42</v>
      </c>
      <c r="C605" t="s">
        <v>160</v>
      </c>
      <c r="D605" t="s">
        <v>17</v>
      </c>
      <c r="E605">
        <v>12</v>
      </c>
      <c r="F605">
        <v>370</v>
      </c>
      <c r="G605">
        <v>370</v>
      </c>
      <c r="H605">
        <v>70</v>
      </c>
      <c r="I605">
        <v>25900</v>
      </c>
      <c r="J605">
        <v>3885</v>
      </c>
      <c r="K605">
        <v>29785</v>
      </c>
    </row>
    <row r="606" spans="1:11" x14ac:dyDescent="0.25">
      <c r="A606" s="1">
        <v>45845</v>
      </c>
      <c r="B606" t="s">
        <v>36</v>
      </c>
      <c r="C606" t="s">
        <v>143</v>
      </c>
      <c r="D606" t="s">
        <v>17</v>
      </c>
      <c r="E606">
        <v>5</v>
      </c>
      <c r="F606">
        <v>9</v>
      </c>
      <c r="G606">
        <v>18.34</v>
      </c>
      <c r="H606">
        <v>2400</v>
      </c>
      <c r="I606">
        <v>44016</v>
      </c>
      <c r="J606">
        <v>6602.4</v>
      </c>
      <c r="K606">
        <v>50618.400000000001</v>
      </c>
    </row>
    <row r="607" spans="1:11" x14ac:dyDescent="0.25">
      <c r="A607" s="1">
        <v>45845</v>
      </c>
      <c r="B607" t="s">
        <v>58</v>
      </c>
      <c r="C607" t="s">
        <v>35</v>
      </c>
      <c r="D607" t="s">
        <v>24</v>
      </c>
      <c r="E607">
        <v>4</v>
      </c>
      <c r="F607">
        <v>1</v>
      </c>
      <c r="G607">
        <v>6.56</v>
      </c>
      <c r="H607">
        <v>3500</v>
      </c>
      <c r="I607">
        <v>22960</v>
      </c>
      <c r="J607">
        <v>3444</v>
      </c>
      <c r="K607">
        <v>26404</v>
      </c>
    </row>
    <row r="608" spans="1:11" x14ac:dyDescent="0.25">
      <c r="A608" s="1">
        <v>45845</v>
      </c>
      <c r="B608" t="s">
        <v>36</v>
      </c>
      <c r="C608" t="s">
        <v>195</v>
      </c>
      <c r="D608" t="s">
        <v>32</v>
      </c>
      <c r="E608">
        <v>6</v>
      </c>
      <c r="F608">
        <v>6</v>
      </c>
      <c r="G608">
        <v>5</v>
      </c>
      <c r="H608">
        <v>2400</v>
      </c>
      <c r="I608">
        <v>12000</v>
      </c>
      <c r="J608">
        <v>1800</v>
      </c>
      <c r="K608">
        <v>13800</v>
      </c>
    </row>
    <row r="609" spans="1:11" x14ac:dyDescent="0.25">
      <c r="A609" s="1">
        <v>45854</v>
      </c>
      <c r="B609" t="s">
        <v>44</v>
      </c>
      <c r="C609" t="s">
        <v>52</v>
      </c>
      <c r="D609" t="s">
        <v>32</v>
      </c>
      <c r="E609">
        <v>6</v>
      </c>
      <c r="F609">
        <v>181</v>
      </c>
      <c r="G609">
        <v>304</v>
      </c>
      <c r="H609">
        <v>70</v>
      </c>
      <c r="I609">
        <v>21280</v>
      </c>
      <c r="J609">
        <v>3192</v>
      </c>
      <c r="K609">
        <v>24472</v>
      </c>
    </row>
    <row r="610" spans="1:11" x14ac:dyDescent="0.25">
      <c r="A610" s="1">
        <v>45845</v>
      </c>
      <c r="B610" t="s">
        <v>36</v>
      </c>
      <c r="C610" t="s">
        <v>46</v>
      </c>
      <c r="D610" t="s">
        <v>24</v>
      </c>
      <c r="E610">
        <v>4</v>
      </c>
      <c r="F610">
        <v>4</v>
      </c>
      <c r="G610">
        <v>10</v>
      </c>
      <c r="H610">
        <v>2400</v>
      </c>
      <c r="I610">
        <v>24000</v>
      </c>
      <c r="J610">
        <v>3600</v>
      </c>
      <c r="K610">
        <v>27600</v>
      </c>
    </row>
    <row r="611" spans="1:11" x14ac:dyDescent="0.25">
      <c r="A611" s="1">
        <v>45845</v>
      </c>
      <c r="B611" t="s">
        <v>168</v>
      </c>
      <c r="C611" t="s">
        <v>50</v>
      </c>
      <c r="D611" t="s">
        <v>57</v>
      </c>
      <c r="E611">
        <v>6</v>
      </c>
      <c r="F611">
        <v>1</v>
      </c>
      <c r="G611">
        <v>22.54</v>
      </c>
      <c r="H611">
        <v>3500</v>
      </c>
      <c r="I611">
        <v>78890</v>
      </c>
      <c r="J611">
        <v>11833.5</v>
      </c>
      <c r="K611">
        <v>90723.5</v>
      </c>
    </row>
    <row r="612" spans="1:11" x14ac:dyDescent="0.25">
      <c r="A612" s="1">
        <v>45845</v>
      </c>
      <c r="B612" t="s">
        <v>12</v>
      </c>
      <c r="C612" t="s">
        <v>68</v>
      </c>
      <c r="D612" t="s">
        <v>57</v>
      </c>
      <c r="E612">
        <v>4</v>
      </c>
      <c r="F612">
        <v>1</v>
      </c>
      <c r="G612">
        <v>17.04</v>
      </c>
      <c r="H612">
        <v>5000</v>
      </c>
      <c r="I612">
        <v>85200</v>
      </c>
      <c r="J612">
        <v>12780</v>
      </c>
      <c r="K612">
        <v>97980</v>
      </c>
    </row>
    <row r="613" spans="1:11" x14ac:dyDescent="0.25">
      <c r="A613" s="1">
        <v>45845</v>
      </c>
      <c r="B613" t="s">
        <v>36</v>
      </c>
      <c r="C613" t="s">
        <v>196</v>
      </c>
      <c r="D613" t="s">
        <v>57</v>
      </c>
      <c r="E613">
        <v>3</v>
      </c>
      <c r="F613">
        <v>3</v>
      </c>
      <c r="G613">
        <v>5.99</v>
      </c>
      <c r="H613">
        <v>2400</v>
      </c>
      <c r="I613">
        <v>14376</v>
      </c>
      <c r="J613">
        <v>2156.4</v>
      </c>
      <c r="K613">
        <v>16532.400000000001</v>
      </c>
    </row>
    <row r="614" spans="1:11" x14ac:dyDescent="0.25">
      <c r="A614" s="1">
        <v>45845</v>
      </c>
      <c r="B614" t="s">
        <v>20</v>
      </c>
      <c r="C614" t="s">
        <v>47</v>
      </c>
      <c r="D614" t="s">
        <v>22</v>
      </c>
      <c r="E614">
        <v>2</v>
      </c>
      <c r="F614">
        <v>285</v>
      </c>
      <c r="G614">
        <v>285</v>
      </c>
      <c r="H614">
        <v>90</v>
      </c>
      <c r="I614">
        <v>25650</v>
      </c>
      <c r="J614">
        <v>3847.5</v>
      </c>
      <c r="K614">
        <v>29497.5</v>
      </c>
    </row>
    <row r="615" spans="1:11" x14ac:dyDescent="0.25">
      <c r="A615" s="1">
        <v>45845</v>
      </c>
      <c r="B615" t="s">
        <v>20</v>
      </c>
      <c r="C615" t="s">
        <v>51</v>
      </c>
      <c r="D615" t="s">
        <v>17</v>
      </c>
      <c r="E615">
        <v>4</v>
      </c>
      <c r="F615">
        <v>407</v>
      </c>
      <c r="G615">
        <v>407</v>
      </c>
      <c r="H615">
        <v>90</v>
      </c>
      <c r="I615">
        <v>36630</v>
      </c>
      <c r="J615">
        <v>5494.5</v>
      </c>
      <c r="K615">
        <v>42124.5</v>
      </c>
    </row>
    <row r="616" spans="1:11" x14ac:dyDescent="0.25">
      <c r="A616" s="1">
        <v>45846</v>
      </c>
      <c r="B616" t="s">
        <v>42</v>
      </c>
      <c r="C616" t="s">
        <v>160</v>
      </c>
      <c r="D616" t="s">
        <v>27</v>
      </c>
      <c r="E616">
        <v>11</v>
      </c>
      <c r="F616">
        <v>625</v>
      </c>
      <c r="G616">
        <v>625</v>
      </c>
      <c r="H616">
        <v>70</v>
      </c>
      <c r="I616">
        <v>43750</v>
      </c>
      <c r="J616">
        <v>6562.5</v>
      </c>
      <c r="K616">
        <v>50312.5</v>
      </c>
    </row>
    <row r="617" spans="1:11" x14ac:dyDescent="0.25">
      <c r="A617" s="1">
        <v>45846</v>
      </c>
      <c r="B617" t="s">
        <v>42</v>
      </c>
      <c r="C617" t="s">
        <v>160</v>
      </c>
      <c r="D617" t="s">
        <v>32</v>
      </c>
      <c r="E617">
        <v>11</v>
      </c>
      <c r="F617">
        <v>225</v>
      </c>
      <c r="G617">
        <v>225</v>
      </c>
      <c r="H617">
        <v>70</v>
      </c>
      <c r="I617">
        <v>15750</v>
      </c>
      <c r="J617">
        <v>2362.5</v>
      </c>
      <c r="K617">
        <v>18112.5</v>
      </c>
    </row>
    <row r="618" spans="1:11" x14ac:dyDescent="0.25">
      <c r="A618" s="1">
        <v>45845</v>
      </c>
      <c r="B618" t="s">
        <v>20</v>
      </c>
      <c r="C618" t="s">
        <v>47</v>
      </c>
      <c r="D618" t="s">
        <v>32</v>
      </c>
      <c r="E618">
        <v>3</v>
      </c>
      <c r="F618">
        <v>299</v>
      </c>
      <c r="G618">
        <v>299</v>
      </c>
      <c r="H618">
        <v>90</v>
      </c>
      <c r="I618">
        <v>26910</v>
      </c>
      <c r="J618">
        <v>4036.5</v>
      </c>
      <c r="K618">
        <v>30946.5</v>
      </c>
    </row>
    <row r="619" spans="1:11" x14ac:dyDescent="0.25">
      <c r="A619" s="1">
        <v>45845</v>
      </c>
      <c r="B619" t="s">
        <v>20</v>
      </c>
      <c r="C619" t="s">
        <v>109</v>
      </c>
      <c r="D619" t="s">
        <v>32</v>
      </c>
      <c r="E619">
        <v>7</v>
      </c>
      <c r="F619">
        <v>572</v>
      </c>
      <c r="G619">
        <v>572</v>
      </c>
      <c r="H619">
        <v>90</v>
      </c>
      <c r="I619">
        <v>51480</v>
      </c>
      <c r="J619">
        <v>7722</v>
      </c>
      <c r="K619">
        <v>59202</v>
      </c>
    </row>
    <row r="620" spans="1:11" x14ac:dyDescent="0.25">
      <c r="A620" s="1">
        <v>45845</v>
      </c>
      <c r="B620" t="s">
        <v>20</v>
      </c>
      <c r="C620" t="s">
        <v>47</v>
      </c>
      <c r="D620" t="s">
        <v>24</v>
      </c>
      <c r="E620">
        <v>6</v>
      </c>
      <c r="F620">
        <v>1214</v>
      </c>
      <c r="G620">
        <v>1214</v>
      </c>
      <c r="H620">
        <v>90</v>
      </c>
      <c r="I620">
        <v>109260</v>
      </c>
      <c r="J620">
        <v>16389</v>
      </c>
      <c r="K620">
        <v>125649</v>
      </c>
    </row>
    <row r="621" spans="1:11" x14ac:dyDescent="0.25">
      <c r="A621" s="1">
        <v>45845</v>
      </c>
      <c r="B621" t="s">
        <v>20</v>
      </c>
      <c r="C621" t="s">
        <v>109</v>
      </c>
      <c r="D621" t="s">
        <v>14</v>
      </c>
      <c r="E621">
        <v>5</v>
      </c>
      <c r="F621">
        <v>1</v>
      </c>
      <c r="G621">
        <v>273</v>
      </c>
      <c r="H621">
        <v>90</v>
      </c>
      <c r="I621">
        <v>24570</v>
      </c>
      <c r="J621">
        <v>3685.5</v>
      </c>
      <c r="K621">
        <v>28255.5</v>
      </c>
    </row>
    <row r="622" spans="1:11" x14ac:dyDescent="0.25">
      <c r="A622" s="1">
        <v>45845</v>
      </c>
      <c r="B622" t="s">
        <v>70</v>
      </c>
      <c r="C622" t="s">
        <v>52</v>
      </c>
      <c r="D622" t="s">
        <v>11</v>
      </c>
      <c r="E622">
        <v>4</v>
      </c>
      <c r="F622">
        <v>2408</v>
      </c>
      <c r="G622">
        <v>2408</v>
      </c>
      <c r="H622">
        <v>90</v>
      </c>
      <c r="I622">
        <v>216720</v>
      </c>
      <c r="J622">
        <v>32508</v>
      </c>
      <c r="K622">
        <v>249228</v>
      </c>
    </row>
    <row r="623" spans="1:11" x14ac:dyDescent="0.25">
      <c r="A623" s="1">
        <v>45846</v>
      </c>
      <c r="B623" t="s">
        <v>42</v>
      </c>
      <c r="C623" t="s">
        <v>109</v>
      </c>
      <c r="D623" t="s">
        <v>26</v>
      </c>
      <c r="E623">
        <v>15</v>
      </c>
      <c r="F623">
        <v>2416</v>
      </c>
      <c r="G623">
        <v>2416</v>
      </c>
      <c r="H623">
        <v>70</v>
      </c>
      <c r="I623">
        <v>169120</v>
      </c>
      <c r="J623">
        <v>25368</v>
      </c>
      <c r="K623">
        <v>194488</v>
      </c>
    </row>
    <row r="624" spans="1:11" x14ac:dyDescent="0.25">
      <c r="A624" s="1">
        <v>45845</v>
      </c>
      <c r="B624" t="s">
        <v>20</v>
      </c>
      <c r="C624" t="s">
        <v>109</v>
      </c>
      <c r="D624" t="s">
        <v>17</v>
      </c>
      <c r="E624">
        <v>11</v>
      </c>
      <c r="F624">
        <v>760</v>
      </c>
      <c r="G624">
        <v>760</v>
      </c>
      <c r="H624">
        <v>90</v>
      </c>
      <c r="I624">
        <v>68400</v>
      </c>
      <c r="J624">
        <v>10260</v>
      </c>
      <c r="K624">
        <v>78660</v>
      </c>
    </row>
    <row r="625" spans="1:11" x14ac:dyDescent="0.25">
      <c r="A625" s="1">
        <v>45845</v>
      </c>
      <c r="B625" t="s">
        <v>168</v>
      </c>
      <c r="C625" t="s">
        <v>137</v>
      </c>
      <c r="D625" t="s">
        <v>26</v>
      </c>
      <c r="E625">
        <v>7</v>
      </c>
      <c r="F625">
        <v>1</v>
      </c>
      <c r="G625">
        <v>23.98</v>
      </c>
      <c r="H625">
        <v>3500</v>
      </c>
      <c r="I625">
        <v>83930</v>
      </c>
      <c r="J625">
        <v>12589.5</v>
      </c>
      <c r="K625">
        <v>96519.5</v>
      </c>
    </row>
    <row r="626" spans="1:11" x14ac:dyDescent="0.25">
      <c r="A626" s="1">
        <v>45845</v>
      </c>
      <c r="B626" t="s">
        <v>80</v>
      </c>
      <c r="C626" t="s">
        <v>194</v>
      </c>
      <c r="D626" t="s">
        <v>17</v>
      </c>
      <c r="E626">
        <v>4</v>
      </c>
      <c r="F626">
        <v>3</v>
      </c>
      <c r="G626">
        <v>627</v>
      </c>
      <c r="H626">
        <v>70</v>
      </c>
      <c r="I626">
        <v>43890</v>
      </c>
      <c r="J626">
        <v>6583.5</v>
      </c>
      <c r="K626">
        <v>50473.5</v>
      </c>
    </row>
    <row r="627" spans="1:11" x14ac:dyDescent="0.25">
      <c r="A627" s="1">
        <v>45845</v>
      </c>
      <c r="B627" t="s">
        <v>60</v>
      </c>
      <c r="C627" t="s">
        <v>169</v>
      </c>
      <c r="D627" t="s">
        <v>19</v>
      </c>
      <c r="E627">
        <v>12</v>
      </c>
      <c r="F627">
        <v>21</v>
      </c>
      <c r="G627">
        <v>21</v>
      </c>
      <c r="H627">
        <v>2400</v>
      </c>
      <c r="I627">
        <v>50400</v>
      </c>
      <c r="J627">
        <v>7560</v>
      </c>
      <c r="K627">
        <v>57960</v>
      </c>
    </row>
    <row r="628" spans="1:11" x14ac:dyDescent="0.25">
      <c r="A628" s="1">
        <v>45841</v>
      </c>
      <c r="B628" t="s">
        <v>144</v>
      </c>
      <c r="C628" t="s">
        <v>155</v>
      </c>
      <c r="D628" t="s">
        <v>59</v>
      </c>
      <c r="E628">
        <v>13</v>
      </c>
      <c r="F628">
        <v>764</v>
      </c>
      <c r="G628">
        <v>764</v>
      </c>
      <c r="H628">
        <v>100</v>
      </c>
      <c r="I628">
        <v>76400</v>
      </c>
      <c r="J628">
        <v>11460</v>
      </c>
      <c r="K628">
        <v>87860</v>
      </c>
    </row>
    <row r="629" spans="1:11" x14ac:dyDescent="0.25">
      <c r="A629" s="1">
        <v>45845</v>
      </c>
      <c r="B629" t="s">
        <v>80</v>
      </c>
      <c r="C629" t="s">
        <v>41</v>
      </c>
      <c r="D629" t="s">
        <v>59</v>
      </c>
      <c r="E629">
        <v>3</v>
      </c>
      <c r="F629">
        <v>210</v>
      </c>
      <c r="G629">
        <v>210</v>
      </c>
      <c r="H629">
        <v>70</v>
      </c>
      <c r="I629">
        <v>14700</v>
      </c>
      <c r="J629">
        <v>2205</v>
      </c>
      <c r="K629">
        <v>16905</v>
      </c>
    </row>
    <row r="630" spans="1:11" x14ac:dyDescent="0.25">
      <c r="A630" s="1">
        <v>45845</v>
      </c>
      <c r="B630" t="s">
        <v>168</v>
      </c>
      <c r="C630" t="s">
        <v>33</v>
      </c>
      <c r="D630" t="s">
        <v>26</v>
      </c>
      <c r="E630">
        <v>7</v>
      </c>
      <c r="F630">
        <v>1</v>
      </c>
      <c r="G630">
        <v>20.04</v>
      </c>
      <c r="H630">
        <v>3500</v>
      </c>
      <c r="I630">
        <v>70140</v>
      </c>
      <c r="J630">
        <v>10521</v>
      </c>
      <c r="K630">
        <v>80661</v>
      </c>
    </row>
    <row r="631" spans="1:11" x14ac:dyDescent="0.25">
      <c r="A631" s="1">
        <v>45845</v>
      </c>
      <c r="B631" t="s">
        <v>197</v>
      </c>
      <c r="C631" t="s">
        <v>45</v>
      </c>
      <c r="D631" t="s">
        <v>26</v>
      </c>
      <c r="E631">
        <v>2</v>
      </c>
      <c r="F631">
        <v>130</v>
      </c>
      <c r="G631">
        <v>130</v>
      </c>
      <c r="H631">
        <v>70</v>
      </c>
      <c r="I631">
        <v>9100</v>
      </c>
      <c r="J631">
        <v>1365</v>
      </c>
      <c r="K631">
        <v>10465</v>
      </c>
    </row>
    <row r="632" spans="1:11" x14ac:dyDescent="0.25">
      <c r="A632" s="1">
        <v>45845</v>
      </c>
      <c r="B632" t="s">
        <v>164</v>
      </c>
      <c r="C632" t="s">
        <v>177</v>
      </c>
      <c r="D632" t="s">
        <v>32</v>
      </c>
      <c r="E632">
        <v>11</v>
      </c>
      <c r="F632">
        <v>5</v>
      </c>
      <c r="G632">
        <v>11</v>
      </c>
      <c r="H632">
        <v>500</v>
      </c>
      <c r="I632">
        <v>5500</v>
      </c>
      <c r="J632">
        <v>825</v>
      </c>
      <c r="K632">
        <v>6325</v>
      </c>
    </row>
    <row r="633" spans="1:11" x14ac:dyDescent="0.25">
      <c r="A633" s="1">
        <v>45845</v>
      </c>
      <c r="B633" t="s">
        <v>60</v>
      </c>
      <c r="C633" t="s">
        <v>170</v>
      </c>
      <c r="D633" t="s">
        <v>19</v>
      </c>
      <c r="E633">
        <v>4</v>
      </c>
      <c r="F633">
        <v>20.9</v>
      </c>
      <c r="G633">
        <v>20.9</v>
      </c>
      <c r="H633">
        <v>2400</v>
      </c>
      <c r="I633">
        <v>50160</v>
      </c>
      <c r="J633">
        <v>7524</v>
      </c>
      <c r="K633">
        <v>57684</v>
      </c>
    </row>
    <row r="634" spans="1:11" x14ac:dyDescent="0.25">
      <c r="A634" s="1">
        <v>45845</v>
      </c>
      <c r="B634" t="s">
        <v>144</v>
      </c>
      <c r="C634" t="s">
        <v>165</v>
      </c>
      <c r="D634" t="s">
        <v>63</v>
      </c>
      <c r="E634">
        <v>4</v>
      </c>
      <c r="F634">
        <v>192</v>
      </c>
      <c r="G634">
        <v>192</v>
      </c>
      <c r="H634">
        <v>100</v>
      </c>
      <c r="I634">
        <v>19200</v>
      </c>
      <c r="J634">
        <v>2880</v>
      </c>
      <c r="K634">
        <v>22080</v>
      </c>
    </row>
    <row r="635" spans="1:11" x14ac:dyDescent="0.25">
      <c r="A635" s="1">
        <v>45846</v>
      </c>
      <c r="B635" t="s">
        <v>197</v>
      </c>
      <c r="C635" t="s">
        <v>56</v>
      </c>
      <c r="D635" t="s">
        <v>26</v>
      </c>
      <c r="E635">
        <v>2</v>
      </c>
      <c r="F635">
        <v>670</v>
      </c>
      <c r="G635">
        <v>670</v>
      </c>
      <c r="H635">
        <v>70</v>
      </c>
      <c r="I635">
        <v>46900</v>
      </c>
      <c r="J635">
        <v>7035</v>
      </c>
      <c r="K635">
        <v>53935</v>
      </c>
    </row>
    <row r="636" spans="1:11" x14ac:dyDescent="0.25">
      <c r="A636" s="1">
        <v>45846</v>
      </c>
      <c r="B636" t="s">
        <v>80</v>
      </c>
      <c r="C636" t="s">
        <v>54</v>
      </c>
      <c r="D636" t="s">
        <v>22</v>
      </c>
      <c r="E636">
        <v>31</v>
      </c>
      <c r="F636">
        <v>1500</v>
      </c>
      <c r="G636">
        <v>1500</v>
      </c>
      <c r="H636">
        <v>70</v>
      </c>
      <c r="I636">
        <v>105000</v>
      </c>
      <c r="J636">
        <v>15750</v>
      </c>
      <c r="K636">
        <v>120750</v>
      </c>
    </row>
    <row r="637" spans="1:11" x14ac:dyDescent="0.25">
      <c r="A637" s="1">
        <v>45846</v>
      </c>
      <c r="B637" t="s">
        <v>36</v>
      </c>
      <c r="C637" t="s">
        <v>50</v>
      </c>
      <c r="D637" t="s">
        <v>24</v>
      </c>
      <c r="E637">
        <v>8</v>
      </c>
      <c r="F637">
        <v>5</v>
      </c>
      <c r="G637">
        <v>10</v>
      </c>
      <c r="H637">
        <v>2400</v>
      </c>
      <c r="I637">
        <v>24000</v>
      </c>
      <c r="J637">
        <v>3600</v>
      </c>
      <c r="K637">
        <v>27600</v>
      </c>
    </row>
    <row r="638" spans="1:11" x14ac:dyDescent="0.25">
      <c r="A638" s="1">
        <v>45846</v>
      </c>
      <c r="B638" t="s">
        <v>198</v>
      </c>
      <c r="C638" t="s">
        <v>76</v>
      </c>
      <c r="D638" t="s">
        <v>32</v>
      </c>
      <c r="E638">
        <v>60</v>
      </c>
      <c r="F638">
        <v>37</v>
      </c>
      <c r="G638">
        <v>60</v>
      </c>
      <c r="H638">
        <v>2500</v>
      </c>
      <c r="I638">
        <v>150000</v>
      </c>
      <c r="J638">
        <v>22500</v>
      </c>
      <c r="K638">
        <v>172500</v>
      </c>
    </row>
    <row r="639" spans="1:11" x14ac:dyDescent="0.25">
      <c r="A639" s="1">
        <v>45846</v>
      </c>
      <c r="B639" t="s">
        <v>12</v>
      </c>
      <c r="C639" t="s">
        <v>86</v>
      </c>
      <c r="D639" t="s">
        <v>59</v>
      </c>
      <c r="F639">
        <v>2</v>
      </c>
      <c r="G639">
        <v>11.98</v>
      </c>
      <c r="H639">
        <v>20000</v>
      </c>
      <c r="I639">
        <v>239600</v>
      </c>
      <c r="J639">
        <v>35940</v>
      </c>
      <c r="K639">
        <v>275540</v>
      </c>
    </row>
    <row r="640" spans="1:11" x14ac:dyDescent="0.25">
      <c r="A640" s="1">
        <v>45846</v>
      </c>
      <c r="B640" t="s">
        <v>36</v>
      </c>
      <c r="C640" t="s">
        <v>84</v>
      </c>
      <c r="D640" t="s">
        <v>17</v>
      </c>
      <c r="E640">
        <v>6</v>
      </c>
      <c r="F640">
        <v>9</v>
      </c>
      <c r="G640">
        <v>10</v>
      </c>
      <c r="H640">
        <v>2400</v>
      </c>
      <c r="I640">
        <v>24000</v>
      </c>
      <c r="J640">
        <v>3600</v>
      </c>
      <c r="K640">
        <v>27600</v>
      </c>
    </row>
    <row r="641" spans="1:11" x14ac:dyDescent="0.25">
      <c r="A641" s="1">
        <v>45846</v>
      </c>
      <c r="B641" t="s">
        <v>70</v>
      </c>
      <c r="C641" t="s">
        <v>18</v>
      </c>
      <c r="D641" t="s">
        <v>11</v>
      </c>
      <c r="F641">
        <v>3719</v>
      </c>
      <c r="G641">
        <v>3719</v>
      </c>
      <c r="H641">
        <v>90</v>
      </c>
      <c r="I641">
        <v>334710</v>
      </c>
      <c r="J641">
        <v>50206.5</v>
      </c>
      <c r="K641">
        <v>384916.5</v>
      </c>
    </row>
    <row r="642" spans="1:11" x14ac:dyDescent="0.25">
      <c r="A642" s="1">
        <v>45846</v>
      </c>
      <c r="B642" t="s">
        <v>168</v>
      </c>
      <c r="C642" t="s">
        <v>66</v>
      </c>
      <c r="D642" t="s">
        <v>57</v>
      </c>
      <c r="E642">
        <v>10</v>
      </c>
      <c r="F642">
        <v>1</v>
      </c>
      <c r="G642">
        <v>8</v>
      </c>
      <c r="H642">
        <v>3500</v>
      </c>
      <c r="I642">
        <v>28000</v>
      </c>
      <c r="J642">
        <v>4200</v>
      </c>
      <c r="K642">
        <v>32200</v>
      </c>
    </row>
    <row r="643" spans="1:11" x14ac:dyDescent="0.25">
      <c r="A643" s="1">
        <v>45853</v>
      </c>
      <c r="B643" t="s">
        <v>20</v>
      </c>
      <c r="C643" t="s">
        <v>143</v>
      </c>
      <c r="D643" t="s">
        <v>19</v>
      </c>
      <c r="E643">
        <v>7</v>
      </c>
      <c r="F643">
        <v>91</v>
      </c>
      <c r="G643">
        <v>100</v>
      </c>
      <c r="H643">
        <v>90</v>
      </c>
      <c r="I643">
        <v>9000</v>
      </c>
      <c r="J643">
        <v>1350</v>
      </c>
      <c r="K643">
        <v>10350</v>
      </c>
    </row>
    <row r="644" spans="1:11" x14ac:dyDescent="0.25">
      <c r="A644" s="1">
        <v>45846</v>
      </c>
      <c r="B644" t="s">
        <v>65</v>
      </c>
      <c r="C644" t="s">
        <v>53</v>
      </c>
      <c r="D644" t="s">
        <v>24</v>
      </c>
      <c r="E644">
        <v>5</v>
      </c>
      <c r="F644">
        <v>630</v>
      </c>
      <c r="G644">
        <v>630</v>
      </c>
      <c r="H644">
        <v>70</v>
      </c>
      <c r="I644">
        <v>44100</v>
      </c>
      <c r="J644">
        <v>6615</v>
      </c>
      <c r="K644">
        <v>50715</v>
      </c>
    </row>
    <row r="645" spans="1:11" x14ac:dyDescent="0.25">
      <c r="A645" s="1">
        <v>45846</v>
      </c>
      <c r="B645" t="s">
        <v>199</v>
      </c>
      <c r="C645" t="s">
        <v>155</v>
      </c>
      <c r="D645" t="s">
        <v>11</v>
      </c>
      <c r="E645">
        <v>1</v>
      </c>
      <c r="F645">
        <v>1</v>
      </c>
      <c r="G645">
        <v>1</v>
      </c>
      <c r="H645" s="2">
        <v>3000</v>
      </c>
      <c r="I645">
        <v>3000</v>
      </c>
      <c r="J645">
        <v>450</v>
      </c>
      <c r="K645">
        <v>3450</v>
      </c>
    </row>
    <row r="646" spans="1:11" x14ac:dyDescent="0.25">
      <c r="A646" s="1">
        <v>45846</v>
      </c>
      <c r="B646" t="s">
        <v>197</v>
      </c>
      <c r="C646" t="s">
        <v>141</v>
      </c>
      <c r="D646" t="s">
        <v>26</v>
      </c>
      <c r="E646">
        <v>1</v>
      </c>
      <c r="F646">
        <v>60</v>
      </c>
      <c r="G646">
        <v>60</v>
      </c>
      <c r="H646">
        <v>70</v>
      </c>
      <c r="I646">
        <v>4200</v>
      </c>
      <c r="J646">
        <v>630</v>
      </c>
      <c r="K646">
        <v>4830</v>
      </c>
    </row>
    <row r="647" spans="1:11" x14ac:dyDescent="0.25">
      <c r="A647" s="1">
        <v>45846</v>
      </c>
      <c r="B647" t="s">
        <v>36</v>
      </c>
      <c r="C647" t="s">
        <v>28</v>
      </c>
      <c r="D647" t="s">
        <v>32</v>
      </c>
      <c r="E647">
        <v>6</v>
      </c>
      <c r="F647">
        <v>6</v>
      </c>
      <c r="G647">
        <v>10</v>
      </c>
      <c r="H647">
        <v>2400</v>
      </c>
      <c r="I647">
        <v>24000</v>
      </c>
      <c r="J647">
        <v>3600</v>
      </c>
      <c r="K647">
        <v>27600</v>
      </c>
    </row>
    <row r="648" spans="1:11" x14ac:dyDescent="0.25">
      <c r="A648" s="1">
        <v>45846</v>
      </c>
      <c r="B648" t="s">
        <v>20</v>
      </c>
      <c r="C648" t="s">
        <v>114</v>
      </c>
      <c r="D648" t="s">
        <v>26</v>
      </c>
      <c r="E648">
        <v>12</v>
      </c>
      <c r="F648">
        <v>200</v>
      </c>
      <c r="G648">
        <v>200</v>
      </c>
      <c r="H648">
        <v>90</v>
      </c>
      <c r="I648">
        <v>18000</v>
      </c>
      <c r="J648">
        <v>2700</v>
      </c>
      <c r="K648">
        <v>20700</v>
      </c>
    </row>
    <row r="649" spans="1:11" x14ac:dyDescent="0.25">
      <c r="A649" s="1">
        <v>45846</v>
      </c>
      <c r="B649" t="s">
        <v>20</v>
      </c>
      <c r="C649" t="s">
        <v>114</v>
      </c>
      <c r="D649" t="s">
        <v>27</v>
      </c>
      <c r="E649">
        <v>6</v>
      </c>
      <c r="F649">
        <v>50</v>
      </c>
      <c r="G649">
        <v>50</v>
      </c>
      <c r="H649">
        <v>90</v>
      </c>
      <c r="I649">
        <v>4500</v>
      </c>
      <c r="J649">
        <v>675</v>
      </c>
      <c r="K649">
        <v>5175</v>
      </c>
    </row>
    <row r="650" spans="1:11" x14ac:dyDescent="0.25">
      <c r="A650" s="1">
        <v>45846</v>
      </c>
      <c r="B650" t="s">
        <v>20</v>
      </c>
      <c r="C650" t="s">
        <v>114</v>
      </c>
      <c r="D650" t="s">
        <v>24</v>
      </c>
      <c r="E650">
        <v>23</v>
      </c>
      <c r="F650">
        <v>389</v>
      </c>
      <c r="G650">
        <v>389</v>
      </c>
      <c r="H650">
        <v>90</v>
      </c>
      <c r="I650">
        <v>35010</v>
      </c>
      <c r="J650">
        <v>5251.5</v>
      </c>
      <c r="K650">
        <v>40261.5</v>
      </c>
    </row>
    <row r="651" spans="1:11" x14ac:dyDescent="0.25">
      <c r="A651" s="1">
        <v>45846</v>
      </c>
      <c r="B651" t="s">
        <v>20</v>
      </c>
      <c r="C651" t="s">
        <v>114</v>
      </c>
      <c r="D651" t="s">
        <v>32</v>
      </c>
      <c r="E651">
        <v>12</v>
      </c>
      <c r="F651">
        <v>89</v>
      </c>
      <c r="G651">
        <v>89</v>
      </c>
      <c r="H651">
        <v>90</v>
      </c>
      <c r="I651">
        <v>8010</v>
      </c>
      <c r="J651">
        <v>1201.5</v>
      </c>
      <c r="K651">
        <v>9211.5</v>
      </c>
    </row>
    <row r="652" spans="1:11" x14ac:dyDescent="0.25">
      <c r="A652" s="1">
        <v>45846</v>
      </c>
      <c r="B652" t="s">
        <v>80</v>
      </c>
      <c r="C652" t="s">
        <v>87</v>
      </c>
      <c r="D652" t="s">
        <v>59</v>
      </c>
      <c r="E652">
        <v>5</v>
      </c>
      <c r="F652">
        <v>2198</v>
      </c>
      <c r="G652">
        <v>2198</v>
      </c>
      <c r="H652">
        <v>70</v>
      </c>
      <c r="I652">
        <v>153860</v>
      </c>
      <c r="J652">
        <v>23079</v>
      </c>
      <c r="K652">
        <v>176939</v>
      </c>
    </row>
    <row r="653" spans="1:11" x14ac:dyDescent="0.25">
      <c r="A653" s="1">
        <v>45846</v>
      </c>
      <c r="B653" t="s">
        <v>20</v>
      </c>
      <c r="C653" t="s">
        <v>109</v>
      </c>
      <c r="D653" t="s">
        <v>26</v>
      </c>
      <c r="E653">
        <v>3</v>
      </c>
      <c r="F653">
        <v>139</v>
      </c>
      <c r="G653">
        <v>139</v>
      </c>
      <c r="H653">
        <v>90</v>
      </c>
      <c r="I653">
        <v>12510</v>
      </c>
      <c r="J653">
        <v>1876.5</v>
      </c>
      <c r="K653">
        <v>14386.5</v>
      </c>
    </row>
    <row r="654" spans="1:11" x14ac:dyDescent="0.25">
      <c r="A654" s="1">
        <v>45846</v>
      </c>
      <c r="B654" t="s">
        <v>44</v>
      </c>
      <c r="C654" t="s">
        <v>200</v>
      </c>
      <c r="D654" t="s">
        <v>63</v>
      </c>
      <c r="E654">
        <v>5</v>
      </c>
      <c r="F654">
        <v>1061</v>
      </c>
      <c r="G654">
        <v>1061</v>
      </c>
      <c r="H654">
        <v>70</v>
      </c>
      <c r="I654">
        <v>74270</v>
      </c>
      <c r="J654">
        <v>11140.5</v>
      </c>
      <c r="K654">
        <v>85410.5</v>
      </c>
    </row>
    <row r="655" spans="1:11" x14ac:dyDescent="0.25">
      <c r="A655" s="1">
        <v>45846</v>
      </c>
      <c r="B655" t="s">
        <v>20</v>
      </c>
      <c r="C655" t="s">
        <v>109</v>
      </c>
      <c r="D655" t="s">
        <v>193</v>
      </c>
      <c r="E655">
        <v>3</v>
      </c>
      <c r="F655">
        <v>200</v>
      </c>
      <c r="G655">
        <v>200</v>
      </c>
      <c r="H655">
        <v>90</v>
      </c>
      <c r="I655">
        <v>18000</v>
      </c>
      <c r="J655">
        <v>2700</v>
      </c>
      <c r="K655">
        <v>20700</v>
      </c>
    </row>
    <row r="656" spans="1:11" x14ac:dyDescent="0.25">
      <c r="A656" s="1">
        <v>45846</v>
      </c>
      <c r="B656" t="s">
        <v>20</v>
      </c>
      <c r="C656" t="s">
        <v>109</v>
      </c>
      <c r="D656" t="s">
        <v>27</v>
      </c>
      <c r="E656">
        <v>1</v>
      </c>
      <c r="F656">
        <v>30</v>
      </c>
      <c r="G656">
        <v>30</v>
      </c>
      <c r="H656">
        <v>90</v>
      </c>
      <c r="I656">
        <v>2700</v>
      </c>
      <c r="J656">
        <v>405</v>
      </c>
      <c r="K656">
        <v>3105</v>
      </c>
    </row>
    <row r="657" spans="1:11" x14ac:dyDescent="0.25">
      <c r="A657" s="1">
        <v>45846</v>
      </c>
      <c r="B657" t="s">
        <v>12</v>
      </c>
      <c r="C657" t="s">
        <v>106</v>
      </c>
      <c r="D657" t="s">
        <v>32</v>
      </c>
      <c r="E657">
        <v>5</v>
      </c>
      <c r="F657">
        <v>1</v>
      </c>
      <c r="G657">
        <v>17.59</v>
      </c>
      <c r="H657">
        <v>15000</v>
      </c>
      <c r="I657">
        <v>263850</v>
      </c>
      <c r="J657">
        <v>39577.5</v>
      </c>
      <c r="K657">
        <v>303427.5</v>
      </c>
    </row>
    <row r="658" spans="1:11" x14ac:dyDescent="0.25">
      <c r="A658" s="1">
        <v>45846</v>
      </c>
      <c r="B658" t="s">
        <v>36</v>
      </c>
      <c r="C658" t="s">
        <v>189</v>
      </c>
      <c r="D658" t="s">
        <v>19</v>
      </c>
      <c r="E658">
        <v>5</v>
      </c>
      <c r="F658">
        <v>6</v>
      </c>
      <c r="G658">
        <v>10</v>
      </c>
      <c r="H658">
        <v>2400</v>
      </c>
      <c r="I658">
        <v>24000</v>
      </c>
      <c r="J658">
        <v>3600</v>
      </c>
      <c r="K658">
        <v>27600</v>
      </c>
    </row>
    <row r="659" spans="1:11" x14ac:dyDescent="0.25">
      <c r="A659" s="1">
        <v>45846</v>
      </c>
      <c r="B659" t="s">
        <v>20</v>
      </c>
      <c r="C659" t="s">
        <v>109</v>
      </c>
      <c r="D659" t="s">
        <v>22</v>
      </c>
      <c r="E659">
        <v>2</v>
      </c>
      <c r="F659">
        <v>500</v>
      </c>
      <c r="G659">
        <v>500</v>
      </c>
      <c r="H659">
        <v>90</v>
      </c>
      <c r="I659">
        <v>45000</v>
      </c>
      <c r="J659">
        <v>6750</v>
      </c>
      <c r="K659">
        <v>51750</v>
      </c>
    </row>
    <row r="660" spans="1:11" x14ac:dyDescent="0.25">
      <c r="A660" s="1">
        <v>45846</v>
      </c>
      <c r="B660" t="s">
        <v>65</v>
      </c>
      <c r="C660" t="s">
        <v>53</v>
      </c>
      <c r="D660" t="s">
        <v>14</v>
      </c>
      <c r="E660">
        <v>4</v>
      </c>
      <c r="F660">
        <v>6</v>
      </c>
      <c r="G660">
        <v>500</v>
      </c>
      <c r="H660">
        <v>70</v>
      </c>
      <c r="I660">
        <v>35000</v>
      </c>
      <c r="J660">
        <v>5250</v>
      </c>
      <c r="K660">
        <v>40250</v>
      </c>
    </row>
    <row r="661" spans="1:11" x14ac:dyDescent="0.25">
      <c r="A661" s="1">
        <v>45846</v>
      </c>
      <c r="B661" t="s">
        <v>42</v>
      </c>
      <c r="C661" t="s">
        <v>47</v>
      </c>
      <c r="D661" t="s">
        <v>32</v>
      </c>
      <c r="E661">
        <v>5</v>
      </c>
      <c r="F661">
        <v>645</v>
      </c>
      <c r="G661">
        <v>645</v>
      </c>
      <c r="H661">
        <v>70</v>
      </c>
      <c r="I661">
        <v>45150</v>
      </c>
      <c r="J661">
        <v>6772.5</v>
      </c>
      <c r="K661">
        <v>51922.5</v>
      </c>
    </row>
    <row r="662" spans="1:11" x14ac:dyDescent="0.25">
      <c r="A662" s="1">
        <v>45846</v>
      </c>
      <c r="B662" t="s">
        <v>65</v>
      </c>
      <c r="C662" t="s">
        <v>52</v>
      </c>
      <c r="D662" t="s">
        <v>32</v>
      </c>
      <c r="E662">
        <v>6</v>
      </c>
      <c r="F662">
        <v>424</v>
      </c>
      <c r="G662">
        <v>424</v>
      </c>
      <c r="H662">
        <v>70</v>
      </c>
      <c r="I662">
        <v>29680</v>
      </c>
      <c r="J662">
        <v>4452</v>
      </c>
      <c r="K662">
        <v>34132</v>
      </c>
    </row>
    <row r="663" spans="1:11" x14ac:dyDescent="0.25">
      <c r="A663" s="1">
        <v>45852</v>
      </c>
      <c r="B663" t="s">
        <v>65</v>
      </c>
      <c r="C663" t="s">
        <v>143</v>
      </c>
      <c r="D663" t="s">
        <v>24</v>
      </c>
      <c r="E663">
        <v>7</v>
      </c>
      <c r="F663">
        <v>610</v>
      </c>
      <c r="G663">
        <v>610</v>
      </c>
      <c r="H663">
        <v>70</v>
      </c>
      <c r="I663">
        <v>42700</v>
      </c>
      <c r="J663">
        <v>6405</v>
      </c>
      <c r="K663">
        <v>49105</v>
      </c>
    </row>
    <row r="664" spans="1:11" x14ac:dyDescent="0.25">
      <c r="A664" s="1">
        <v>45846</v>
      </c>
      <c r="B664" t="s">
        <v>65</v>
      </c>
      <c r="C664" t="s">
        <v>52</v>
      </c>
      <c r="D664" t="s">
        <v>14</v>
      </c>
      <c r="E664">
        <v>5</v>
      </c>
      <c r="F664">
        <v>11</v>
      </c>
      <c r="G664">
        <v>500</v>
      </c>
      <c r="H664">
        <v>70</v>
      </c>
      <c r="I664">
        <v>35000</v>
      </c>
      <c r="J664">
        <v>5250</v>
      </c>
      <c r="K664">
        <v>40250</v>
      </c>
    </row>
    <row r="665" spans="1:11" x14ac:dyDescent="0.25">
      <c r="A665" s="1">
        <v>45846</v>
      </c>
      <c r="B665" t="s">
        <v>65</v>
      </c>
      <c r="C665" t="s">
        <v>52</v>
      </c>
      <c r="D665" t="s">
        <v>59</v>
      </c>
      <c r="E665">
        <v>6</v>
      </c>
      <c r="F665">
        <v>8</v>
      </c>
      <c r="G665">
        <v>500</v>
      </c>
      <c r="H665">
        <v>70</v>
      </c>
      <c r="I665">
        <v>35000</v>
      </c>
      <c r="J665">
        <v>5250</v>
      </c>
      <c r="K665">
        <v>40250</v>
      </c>
    </row>
    <row r="666" spans="1:11" x14ac:dyDescent="0.25">
      <c r="A666" s="1">
        <v>45846</v>
      </c>
      <c r="B666" t="s">
        <v>65</v>
      </c>
      <c r="C666" t="s">
        <v>143</v>
      </c>
      <c r="D666" t="s">
        <v>32</v>
      </c>
      <c r="E666">
        <v>10</v>
      </c>
      <c r="F666">
        <v>628</v>
      </c>
      <c r="G666">
        <v>628</v>
      </c>
      <c r="H666">
        <v>70</v>
      </c>
      <c r="I666">
        <v>43960</v>
      </c>
      <c r="J666">
        <v>6594</v>
      </c>
      <c r="K666">
        <v>50554</v>
      </c>
    </row>
    <row r="667" spans="1:11" x14ac:dyDescent="0.25">
      <c r="A667" s="1">
        <v>45846</v>
      </c>
      <c r="B667" t="s">
        <v>42</v>
      </c>
      <c r="C667" t="s">
        <v>114</v>
      </c>
      <c r="D667" t="s">
        <v>17</v>
      </c>
      <c r="E667">
        <v>1</v>
      </c>
      <c r="F667">
        <v>560</v>
      </c>
      <c r="G667">
        <v>560</v>
      </c>
      <c r="H667">
        <v>70</v>
      </c>
      <c r="I667">
        <v>39200</v>
      </c>
      <c r="J667">
        <v>5880</v>
      </c>
      <c r="K667">
        <v>45080</v>
      </c>
    </row>
    <row r="668" spans="1:11" x14ac:dyDescent="0.25">
      <c r="A668" s="1">
        <v>45846</v>
      </c>
      <c r="B668" t="s">
        <v>42</v>
      </c>
      <c r="C668" t="s">
        <v>114</v>
      </c>
      <c r="D668" t="s">
        <v>32</v>
      </c>
      <c r="E668">
        <v>12</v>
      </c>
      <c r="F668">
        <v>376</v>
      </c>
      <c r="G668">
        <v>376</v>
      </c>
      <c r="H668">
        <v>70</v>
      </c>
      <c r="I668">
        <v>26320</v>
      </c>
      <c r="J668">
        <v>3948</v>
      </c>
      <c r="K668">
        <v>30268</v>
      </c>
    </row>
    <row r="669" spans="1:11" x14ac:dyDescent="0.25">
      <c r="A669" s="1">
        <v>45846</v>
      </c>
      <c r="B669" t="s">
        <v>42</v>
      </c>
      <c r="C669" t="s">
        <v>114</v>
      </c>
      <c r="D669" t="s">
        <v>19</v>
      </c>
      <c r="E669">
        <v>4</v>
      </c>
      <c r="F669">
        <v>440</v>
      </c>
      <c r="G669">
        <v>440</v>
      </c>
      <c r="H669">
        <v>70</v>
      </c>
      <c r="I669">
        <v>30800</v>
      </c>
      <c r="J669">
        <v>4620</v>
      </c>
      <c r="K669">
        <v>35420</v>
      </c>
    </row>
    <row r="670" spans="1:11" x14ac:dyDescent="0.25">
      <c r="A670" s="1">
        <v>45846</v>
      </c>
      <c r="B670" t="s">
        <v>42</v>
      </c>
      <c r="C670" t="s">
        <v>160</v>
      </c>
      <c r="D670" t="s">
        <v>26</v>
      </c>
      <c r="E670">
        <v>11</v>
      </c>
      <c r="F670">
        <v>600</v>
      </c>
      <c r="G670">
        <v>600</v>
      </c>
      <c r="H670">
        <v>70</v>
      </c>
      <c r="I670">
        <v>42000</v>
      </c>
      <c r="J670">
        <v>6300</v>
      </c>
      <c r="K670">
        <v>48300</v>
      </c>
    </row>
    <row r="671" spans="1:11" x14ac:dyDescent="0.25">
      <c r="A671" s="1">
        <v>45852</v>
      </c>
      <c r="B671" t="s">
        <v>42</v>
      </c>
      <c r="C671" t="s">
        <v>52</v>
      </c>
      <c r="D671" t="s">
        <v>26</v>
      </c>
      <c r="E671">
        <v>5</v>
      </c>
      <c r="F671">
        <v>561</v>
      </c>
      <c r="G671">
        <v>561</v>
      </c>
      <c r="H671">
        <v>70</v>
      </c>
      <c r="I671">
        <v>39270</v>
      </c>
      <c r="J671">
        <v>5890.5</v>
      </c>
      <c r="K671">
        <v>45160.5</v>
      </c>
    </row>
    <row r="672" spans="1:11" x14ac:dyDescent="0.25">
      <c r="A672" s="1">
        <v>45846</v>
      </c>
      <c r="B672" t="s">
        <v>168</v>
      </c>
      <c r="C672" t="s">
        <v>55</v>
      </c>
      <c r="D672" t="s">
        <v>26</v>
      </c>
      <c r="E672">
        <v>7</v>
      </c>
      <c r="F672">
        <v>1</v>
      </c>
      <c r="G672">
        <v>24.31</v>
      </c>
      <c r="H672">
        <v>3500</v>
      </c>
      <c r="I672">
        <v>85085</v>
      </c>
      <c r="J672">
        <v>12762.75</v>
      </c>
      <c r="K672">
        <v>97847.75</v>
      </c>
    </row>
    <row r="673" spans="1:11" x14ac:dyDescent="0.25">
      <c r="A673" s="1">
        <v>45846</v>
      </c>
      <c r="B673" t="s">
        <v>70</v>
      </c>
      <c r="C673" t="s">
        <v>126</v>
      </c>
      <c r="D673" t="s">
        <v>26</v>
      </c>
      <c r="E673">
        <v>7</v>
      </c>
      <c r="F673">
        <v>2626</v>
      </c>
      <c r="G673">
        <v>2626</v>
      </c>
      <c r="H673">
        <v>90</v>
      </c>
      <c r="I673">
        <v>236340</v>
      </c>
      <c r="J673">
        <v>35451</v>
      </c>
      <c r="K673">
        <v>271791</v>
      </c>
    </row>
    <row r="674" spans="1:11" x14ac:dyDescent="0.25">
      <c r="A674" s="1">
        <v>45846</v>
      </c>
      <c r="B674" t="s">
        <v>199</v>
      </c>
      <c r="C674" t="s">
        <v>178</v>
      </c>
      <c r="D674" t="s">
        <v>11</v>
      </c>
      <c r="E674">
        <v>1</v>
      </c>
      <c r="F674">
        <v>1</v>
      </c>
      <c r="G674">
        <v>1</v>
      </c>
      <c r="H674" s="2">
        <v>3000</v>
      </c>
      <c r="I674">
        <v>3000</v>
      </c>
      <c r="J674">
        <v>450</v>
      </c>
      <c r="K674">
        <v>3450</v>
      </c>
    </row>
    <row r="675" spans="1:11" x14ac:dyDescent="0.25">
      <c r="A675" s="1">
        <v>45846</v>
      </c>
      <c r="B675" t="s">
        <v>168</v>
      </c>
      <c r="C675" t="s">
        <v>41</v>
      </c>
      <c r="D675" t="s">
        <v>26</v>
      </c>
      <c r="E675">
        <v>8</v>
      </c>
      <c r="F675">
        <v>2</v>
      </c>
      <c r="G675">
        <v>22.09</v>
      </c>
      <c r="H675">
        <v>3500</v>
      </c>
      <c r="I675">
        <v>77315</v>
      </c>
      <c r="J675">
        <v>11597.25</v>
      </c>
      <c r="K675">
        <v>88912.25</v>
      </c>
    </row>
    <row r="676" spans="1:11" x14ac:dyDescent="0.25">
      <c r="A676" s="1">
        <v>45846</v>
      </c>
      <c r="B676" t="s">
        <v>80</v>
      </c>
      <c r="C676" t="s">
        <v>163</v>
      </c>
      <c r="D676" t="s">
        <v>17</v>
      </c>
      <c r="E676">
        <v>5</v>
      </c>
      <c r="F676">
        <v>5</v>
      </c>
      <c r="G676">
        <v>683</v>
      </c>
      <c r="H676">
        <v>70</v>
      </c>
      <c r="I676">
        <v>47810</v>
      </c>
      <c r="J676">
        <v>7171.5</v>
      </c>
      <c r="K676">
        <v>54981.5</v>
      </c>
    </row>
    <row r="677" spans="1:11" x14ac:dyDescent="0.25">
      <c r="A677" s="1">
        <v>45846</v>
      </c>
      <c r="B677" t="s">
        <v>20</v>
      </c>
      <c r="C677" t="s">
        <v>49</v>
      </c>
      <c r="D677" t="s">
        <v>24</v>
      </c>
      <c r="E677">
        <v>13</v>
      </c>
      <c r="F677">
        <v>447</v>
      </c>
      <c r="G677">
        <v>447</v>
      </c>
      <c r="H677">
        <v>90</v>
      </c>
      <c r="I677">
        <v>40230</v>
      </c>
      <c r="J677">
        <v>6034.5</v>
      </c>
      <c r="K677">
        <v>46264.5</v>
      </c>
    </row>
    <row r="678" spans="1:11" x14ac:dyDescent="0.25">
      <c r="A678" s="1">
        <v>45852</v>
      </c>
      <c r="B678" t="s">
        <v>20</v>
      </c>
      <c r="C678" t="s">
        <v>48</v>
      </c>
      <c r="D678" t="s">
        <v>19</v>
      </c>
      <c r="E678">
        <v>7</v>
      </c>
      <c r="F678">
        <v>7</v>
      </c>
      <c r="G678">
        <v>178</v>
      </c>
      <c r="H678">
        <v>90</v>
      </c>
      <c r="I678">
        <v>16020</v>
      </c>
      <c r="J678">
        <v>2403</v>
      </c>
      <c r="K678">
        <v>18423</v>
      </c>
    </row>
    <row r="679" spans="1:11" x14ac:dyDescent="0.25">
      <c r="A679" s="1">
        <v>45846</v>
      </c>
      <c r="B679" t="s">
        <v>42</v>
      </c>
      <c r="C679" t="s">
        <v>54</v>
      </c>
      <c r="D679" t="s">
        <v>17</v>
      </c>
      <c r="E679">
        <v>5</v>
      </c>
      <c r="F679">
        <v>879</v>
      </c>
      <c r="G679">
        <v>879</v>
      </c>
      <c r="H679">
        <v>70</v>
      </c>
      <c r="I679">
        <v>61530</v>
      </c>
      <c r="J679">
        <v>9229.5</v>
      </c>
      <c r="K679">
        <v>70759.5</v>
      </c>
    </row>
    <row r="680" spans="1:11" x14ac:dyDescent="0.25">
      <c r="A680" s="1">
        <v>45850</v>
      </c>
      <c r="B680" t="s">
        <v>42</v>
      </c>
      <c r="C680" t="s">
        <v>53</v>
      </c>
      <c r="D680" t="s">
        <v>26</v>
      </c>
      <c r="E680">
        <v>6</v>
      </c>
      <c r="F680">
        <v>500</v>
      </c>
      <c r="G680">
        <v>500</v>
      </c>
      <c r="H680">
        <v>70</v>
      </c>
      <c r="I680">
        <v>35000</v>
      </c>
      <c r="J680">
        <v>5250</v>
      </c>
      <c r="K680">
        <v>40250</v>
      </c>
    </row>
    <row r="681" spans="1:11" x14ac:dyDescent="0.25">
      <c r="A681" s="1">
        <v>45846</v>
      </c>
      <c r="B681" t="s">
        <v>42</v>
      </c>
      <c r="C681" t="s">
        <v>38</v>
      </c>
      <c r="D681" t="s">
        <v>17</v>
      </c>
      <c r="E681">
        <v>11</v>
      </c>
      <c r="F681">
        <v>603</v>
      </c>
      <c r="G681">
        <v>603</v>
      </c>
      <c r="H681">
        <v>70</v>
      </c>
      <c r="I681">
        <v>42210</v>
      </c>
      <c r="J681">
        <v>6331.5</v>
      </c>
      <c r="K681">
        <v>48541.5</v>
      </c>
    </row>
    <row r="682" spans="1:11" x14ac:dyDescent="0.25">
      <c r="A682" s="1">
        <v>45847</v>
      </c>
      <c r="B682" t="s">
        <v>42</v>
      </c>
      <c r="C682" t="s">
        <v>50</v>
      </c>
      <c r="D682" t="s">
        <v>17</v>
      </c>
      <c r="E682">
        <v>3</v>
      </c>
      <c r="F682">
        <v>871</v>
      </c>
      <c r="G682">
        <v>871</v>
      </c>
      <c r="H682">
        <v>70</v>
      </c>
      <c r="I682">
        <v>60970</v>
      </c>
      <c r="J682">
        <v>9145.5</v>
      </c>
      <c r="K682">
        <v>70115.5</v>
      </c>
    </row>
    <row r="683" spans="1:11" x14ac:dyDescent="0.25">
      <c r="A683" s="1">
        <v>45847</v>
      </c>
      <c r="B683" t="s">
        <v>42</v>
      </c>
      <c r="C683" t="s">
        <v>28</v>
      </c>
      <c r="D683" t="s">
        <v>17</v>
      </c>
      <c r="E683">
        <v>23</v>
      </c>
      <c r="F683">
        <v>1077</v>
      </c>
      <c r="G683">
        <v>1077</v>
      </c>
      <c r="H683">
        <v>70</v>
      </c>
      <c r="I683">
        <v>75390</v>
      </c>
      <c r="J683">
        <v>11308.5</v>
      </c>
      <c r="K683">
        <v>86698.5</v>
      </c>
    </row>
    <row r="684" spans="1:11" x14ac:dyDescent="0.25">
      <c r="A684" s="1">
        <v>45847</v>
      </c>
      <c r="B684" t="s">
        <v>42</v>
      </c>
      <c r="C684" t="s">
        <v>28</v>
      </c>
      <c r="D684" t="s">
        <v>32</v>
      </c>
      <c r="E684">
        <v>4</v>
      </c>
      <c r="F684">
        <v>759</v>
      </c>
      <c r="G684">
        <v>759</v>
      </c>
      <c r="H684">
        <v>70</v>
      </c>
      <c r="I684">
        <v>53130</v>
      </c>
      <c r="J684">
        <v>7969.5</v>
      </c>
      <c r="K684">
        <v>61099.5</v>
      </c>
    </row>
    <row r="685" spans="1:11" x14ac:dyDescent="0.25">
      <c r="A685" s="1">
        <v>45847</v>
      </c>
      <c r="B685" t="s">
        <v>42</v>
      </c>
      <c r="C685" t="s">
        <v>50</v>
      </c>
      <c r="D685" t="s">
        <v>32</v>
      </c>
      <c r="E685">
        <v>4</v>
      </c>
      <c r="F685">
        <v>600</v>
      </c>
      <c r="G685">
        <v>600</v>
      </c>
      <c r="H685">
        <v>70</v>
      </c>
      <c r="I685">
        <v>42000</v>
      </c>
      <c r="J685">
        <v>6300</v>
      </c>
      <c r="K685">
        <v>48300</v>
      </c>
    </row>
    <row r="686" spans="1:11" x14ac:dyDescent="0.25">
      <c r="A686" s="1">
        <v>45853</v>
      </c>
      <c r="B686" t="s">
        <v>42</v>
      </c>
      <c r="C686" t="s">
        <v>143</v>
      </c>
      <c r="D686" t="s">
        <v>26</v>
      </c>
      <c r="E686">
        <v>3</v>
      </c>
      <c r="F686">
        <v>811</v>
      </c>
      <c r="G686">
        <v>811</v>
      </c>
      <c r="H686">
        <v>70</v>
      </c>
      <c r="I686">
        <v>56770</v>
      </c>
      <c r="J686">
        <v>8515.5</v>
      </c>
      <c r="K686">
        <v>65285.5</v>
      </c>
    </row>
    <row r="687" spans="1:11" x14ac:dyDescent="0.25">
      <c r="A687" s="1">
        <v>45852</v>
      </c>
      <c r="B687" t="s">
        <v>42</v>
      </c>
      <c r="C687" t="s">
        <v>48</v>
      </c>
      <c r="D687" t="s">
        <v>26</v>
      </c>
      <c r="E687">
        <v>4</v>
      </c>
      <c r="F687">
        <v>340</v>
      </c>
      <c r="G687">
        <v>340</v>
      </c>
      <c r="H687">
        <v>70</v>
      </c>
      <c r="I687">
        <v>23800</v>
      </c>
      <c r="J687">
        <v>3570</v>
      </c>
      <c r="K687">
        <v>27370</v>
      </c>
    </row>
    <row r="688" spans="1:11" x14ac:dyDescent="0.25">
      <c r="A688" s="1">
        <v>45848</v>
      </c>
      <c r="B688" t="s">
        <v>42</v>
      </c>
      <c r="C688" t="s">
        <v>50</v>
      </c>
      <c r="D688" t="s">
        <v>19</v>
      </c>
      <c r="E688">
        <v>11</v>
      </c>
      <c r="F688">
        <v>391</v>
      </c>
      <c r="G688">
        <v>391</v>
      </c>
      <c r="H688">
        <v>70</v>
      </c>
      <c r="I688">
        <v>27370</v>
      </c>
      <c r="J688">
        <v>4105.5</v>
      </c>
      <c r="K688">
        <v>31475.5</v>
      </c>
    </row>
    <row r="689" spans="1:11" x14ac:dyDescent="0.25">
      <c r="A689" s="1">
        <v>45849</v>
      </c>
      <c r="B689" t="s">
        <v>42</v>
      </c>
      <c r="C689" t="s">
        <v>54</v>
      </c>
      <c r="D689" t="s">
        <v>26</v>
      </c>
      <c r="E689">
        <v>11</v>
      </c>
      <c r="F689">
        <v>213</v>
      </c>
      <c r="G689">
        <v>213</v>
      </c>
      <c r="H689">
        <v>70</v>
      </c>
      <c r="I689">
        <v>14910</v>
      </c>
      <c r="J689">
        <v>2236.5</v>
      </c>
      <c r="K689">
        <v>17146.5</v>
      </c>
    </row>
    <row r="690" spans="1:11" x14ac:dyDescent="0.25">
      <c r="A690" s="1">
        <v>45848</v>
      </c>
      <c r="B690" t="s">
        <v>42</v>
      </c>
      <c r="C690" t="s">
        <v>49</v>
      </c>
      <c r="D690" t="s">
        <v>32</v>
      </c>
      <c r="E690">
        <v>8</v>
      </c>
      <c r="F690">
        <v>485</v>
      </c>
      <c r="G690">
        <v>485</v>
      </c>
      <c r="H690">
        <v>70</v>
      </c>
      <c r="I690">
        <v>33950</v>
      </c>
      <c r="J690">
        <v>5092.5</v>
      </c>
      <c r="K690">
        <v>39042.5</v>
      </c>
    </row>
    <row r="691" spans="1:11" x14ac:dyDescent="0.25">
      <c r="A691" s="1">
        <v>45848</v>
      </c>
      <c r="B691" t="s">
        <v>42</v>
      </c>
      <c r="C691" t="s">
        <v>54</v>
      </c>
      <c r="D691" t="s">
        <v>32</v>
      </c>
      <c r="E691">
        <v>12</v>
      </c>
      <c r="F691">
        <v>506</v>
      </c>
      <c r="G691">
        <v>506</v>
      </c>
      <c r="H691">
        <v>70</v>
      </c>
      <c r="I691">
        <v>35420</v>
      </c>
      <c r="J691">
        <v>5313</v>
      </c>
      <c r="K691">
        <v>40733</v>
      </c>
    </row>
    <row r="692" spans="1:11" x14ac:dyDescent="0.25">
      <c r="A692" s="1">
        <v>45848</v>
      </c>
      <c r="B692" t="s">
        <v>42</v>
      </c>
      <c r="C692" t="s">
        <v>35</v>
      </c>
      <c r="D692" t="s">
        <v>27</v>
      </c>
      <c r="E692">
        <v>7</v>
      </c>
      <c r="F692">
        <v>28</v>
      </c>
      <c r="G692">
        <v>28</v>
      </c>
      <c r="H692">
        <v>70</v>
      </c>
      <c r="I692">
        <v>1960</v>
      </c>
      <c r="J692">
        <v>294</v>
      </c>
      <c r="K692">
        <v>2254</v>
      </c>
    </row>
    <row r="693" spans="1:11" x14ac:dyDescent="0.25">
      <c r="A693" s="1">
        <v>45848</v>
      </c>
      <c r="B693" t="s">
        <v>42</v>
      </c>
      <c r="C693" t="s">
        <v>38</v>
      </c>
      <c r="D693" t="s">
        <v>32</v>
      </c>
      <c r="E693">
        <v>22</v>
      </c>
      <c r="F693">
        <v>647</v>
      </c>
      <c r="G693">
        <v>647</v>
      </c>
      <c r="H693">
        <v>70</v>
      </c>
      <c r="I693">
        <v>45290</v>
      </c>
      <c r="J693">
        <v>6793.5</v>
      </c>
      <c r="K693">
        <v>52083.5</v>
      </c>
    </row>
    <row r="694" spans="1:11" x14ac:dyDescent="0.25">
      <c r="A694" s="1">
        <v>45849</v>
      </c>
      <c r="B694" t="s">
        <v>42</v>
      </c>
      <c r="C694" t="s">
        <v>114</v>
      </c>
      <c r="D694" t="s">
        <v>27</v>
      </c>
      <c r="E694">
        <v>13</v>
      </c>
      <c r="F694">
        <v>189</v>
      </c>
      <c r="G694">
        <v>189</v>
      </c>
      <c r="H694">
        <v>70</v>
      </c>
      <c r="I694">
        <v>13230</v>
      </c>
      <c r="J694">
        <v>1984.5</v>
      </c>
      <c r="K694">
        <v>15214.5</v>
      </c>
    </row>
    <row r="695" spans="1:11" x14ac:dyDescent="0.25">
      <c r="A695" s="1">
        <v>45846</v>
      </c>
      <c r="B695" t="s">
        <v>42</v>
      </c>
      <c r="C695" t="s">
        <v>35</v>
      </c>
      <c r="D695" t="s">
        <v>26</v>
      </c>
      <c r="E695">
        <v>12</v>
      </c>
      <c r="F695">
        <v>166</v>
      </c>
      <c r="G695">
        <v>166</v>
      </c>
      <c r="H695">
        <v>70</v>
      </c>
      <c r="I695">
        <v>11620</v>
      </c>
      <c r="J695">
        <v>1743</v>
      </c>
      <c r="K695">
        <v>13363</v>
      </c>
    </row>
    <row r="696" spans="1:11" x14ac:dyDescent="0.25">
      <c r="A696" s="1">
        <v>45849</v>
      </c>
      <c r="B696" t="s">
        <v>42</v>
      </c>
      <c r="C696" t="s">
        <v>49</v>
      </c>
      <c r="D696" t="s">
        <v>27</v>
      </c>
      <c r="E696">
        <v>2</v>
      </c>
      <c r="F696">
        <v>84</v>
      </c>
      <c r="G696">
        <v>84</v>
      </c>
      <c r="H696">
        <v>70</v>
      </c>
      <c r="I696">
        <v>5880</v>
      </c>
      <c r="J696">
        <v>882</v>
      </c>
      <c r="K696">
        <v>6762</v>
      </c>
    </row>
    <row r="697" spans="1:11" x14ac:dyDescent="0.25">
      <c r="A697" s="1">
        <v>45849</v>
      </c>
      <c r="B697" t="s">
        <v>42</v>
      </c>
      <c r="C697" t="s">
        <v>49</v>
      </c>
      <c r="D697" t="s">
        <v>19</v>
      </c>
      <c r="E697">
        <v>7</v>
      </c>
      <c r="F697">
        <v>442</v>
      </c>
      <c r="G697">
        <v>442</v>
      </c>
      <c r="H697">
        <v>70</v>
      </c>
      <c r="I697">
        <v>30940</v>
      </c>
      <c r="J697">
        <v>4641</v>
      </c>
      <c r="K697">
        <v>35581</v>
      </c>
    </row>
    <row r="698" spans="1:11" x14ac:dyDescent="0.25">
      <c r="A698" s="1">
        <v>45849</v>
      </c>
      <c r="B698" t="s">
        <v>42</v>
      </c>
      <c r="C698" t="s">
        <v>160</v>
      </c>
      <c r="D698" t="s">
        <v>19</v>
      </c>
      <c r="E698">
        <v>3</v>
      </c>
      <c r="F698">
        <v>52</v>
      </c>
      <c r="G698">
        <v>52</v>
      </c>
      <c r="H698">
        <v>70</v>
      </c>
      <c r="I698">
        <v>3640</v>
      </c>
      <c r="J698">
        <v>546</v>
      </c>
      <c r="K698">
        <v>4186</v>
      </c>
    </row>
    <row r="699" spans="1:11" x14ac:dyDescent="0.25">
      <c r="A699" s="1">
        <v>45846</v>
      </c>
      <c r="B699" t="s">
        <v>60</v>
      </c>
      <c r="C699" t="s">
        <v>10</v>
      </c>
      <c r="D699" t="s">
        <v>19</v>
      </c>
      <c r="E699">
        <v>5</v>
      </c>
      <c r="F699">
        <v>10.3</v>
      </c>
      <c r="G699">
        <v>10.3</v>
      </c>
      <c r="H699">
        <v>2400</v>
      </c>
      <c r="I699">
        <v>24720</v>
      </c>
      <c r="J699">
        <v>3708</v>
      </c>
      <c r="K699">
        <v>28428</v>
      </c>
    </row>
    <row r="700" spans="1:11" x14ac:dyDescent="0.25">
      <c r="A700" s="1">
        <v>45846</v>
      </c>
      <c r="B700" t="s">
        <v>186</v>
      </c>
      <c r="C700" t="s">
        <v>176</v>
      </c>
      <c r="D700" t="s">
        <v>59</v>
      </c>
      <c r="E700">
        <v>4</v>
      </c>
      <c r="F700">
        <v>1</v>
      </c>
      <c r="G700">
        <v>4</v>
      </c>
      <c r="H700">
        <v>4000</v>
      </c>
      <c r="I700">
        <v>16000</v>
      </c>
      <c r="J700">
        <v>2400</v>
      </c>
      <c r="K700">
        <v>18400</v>
      </c>
    </row>
    <row r="701" spans="1:11" x14ac:dyDescent="0.25">
      <c r="A701" s="1">
        <v>45847</v>
      </c>
      <c r="B701" t="s">
        <v>65</v>
      </c>
      <c r="C701" t="s">
        <v>121</v>
      </c>
      <c r="D701" t="s">
        <v>14</v>
      </c>
      <c r="E701">
        <v>13</v>
      </c>
      <c r="F701">
        <v>10</v>
      </c>
      <c r="G701">
        <v>1430</v>
      </c>
      <c r="H701">
        <v>70</v>
      </c>
      <c r="I701">
        <v>100100</v>
      </c>
      <c r="J701">
        <v>15015</v>
      </c>
      <c r="K701">
        <v>115115</v>
      </c>
    </row>
    <row r="702" spans="1:11" x14ac:dyDescent="0.25">
      <c r="A702" s="1">
        <v>45847</v>
      </c>
      <c r="B702" t="s">
        <v>65</v>
      </c>
      <c r="C702" t="s">
        <v>121</v>
      </c>
      <c r="D702" t="s">
        <v>59</v>
      </c>
      <c r="E702">
        <v>5</v>
      </c>
      <c r="F702">
        <v>482</v>
      </c>
      <c r="G702">
        <v>482</v>
      </c>
      <c r="H702">
        <v>70</v>
      </c>
      <c r="I702">
        <v>33740</v>
      </c>
      <c r="J702">
        <v>5061</v>
      </c>
      <c r="K702">
        <v>38801</v>
      </c>
    </row>
    <row r="703" spans="1:11" x14ac:dyDescent="0.25">
      <c r="A703" s="1">
        <v>45847</v>
      </c>
      <c r="B703" t="s">
        <v>168</v>
      </c>
      <c r="C703" t="s">
        <v>151</v>
      </c>
      <c r="D703" t="s">
        <v>26</v>
      </c>
      <c r="E703">
        <v>8</v>
      </c>
      <c r="F703">
        <v>7</v>
      </c>
      <c r="G703">
        <v>19.399999999999999</v>
      </c>
      <c r="H703">
        <v>3500</v>
      </c>
      <c r="I703">
        <v>67900</v>
      </c>
      <c r="J703">
        <v>10185</v>
      </c>
      <c r="K703">
        <v>78085</v>
      </c>
    </row>
    <row r="704" spans="1:11" x14ac:dyDescent="0.25">
      <c r="A704" s="1">
        <v>45847</v>
      </c>
      <c r="B704" t="s">
        <v>12</v>
      </c>
      <c r="C704" t="s">
        <v>201</v>
      </c>
      <c r="D704" t="s">
        <v>63</v>
      </c>
      <c r="E704">
        <v>2</v>
      </c>
      <c r="F704">
        <v>1</v>
      </c>
      <c r="G704">
        <v>4.3899999999999997</v>
      </c>
      <c r="H704">
        <v>15000</v>
      </c>
      <c r="I704">
        <v>65850</v>
      </c>
      <c r="J704">
        <v>9877.5</v>
      </c>
      <c r="K704">
        <v>75727.5</v>
      </c>
    </row>
    <row r="705" spans="1:11" x14ac:dyDescent="0.25">
      <c r="A705" s="1">
        <v>45847</v>
      </c>
      <c r="B705" t="s">
        <v>20</v>
      </c>
      <c r="C705" t="s">
        <v>99</v>
      </c>
      <c r="D705" t="s">
        <v>32</v>
      </c>
      <c r="E705">
        <v>3</v>
      </c>
      <c r="F705">
        <v>351</v>
      </c>
      <c r="G705">
        <v>351</v>
      </c>
      <c r="H705">
        <v>90</v>
      </c>
      <c r="I705">
        <v>31590</v>
      </c>
      <c r="J705">
        <v>4738.5</v>
      </c>
      <c r="K705">
        <v>36328.5</v>
      </c>
    </row>
    <row r="706" spans="1:11" x14ac:dyDescent="0.25">
      <c r="A706" s="1">
        <v>45847</v>
      </c>
      <c r="B706" t="s">
        <v>80</v>
      </c>
      <c r="C706" t="s">
        <v>35</v>
      </c>
      <c r="D706" t="s">
        <v>22</v>
      </c>
      <c r="E706">
        <v>23</v>
      </c>
      <c r="F706">
        <v>1500</v>
      </c>
      <c r="G706">
        <v>1500</v>
      </c>
      <c r="H706">
        <v>70</v>
      </c>
      <c r="I706">
        <v>105000</v>
      </c>
      <c r="J706">
        <v>15750</v>
      </c>
      <c r="K706">
        <v>120750</v>
      </c>
    </row>
    <row r="707" spans="1:11" x14ac:dyDescent="0.25">
      <c r="A707" s="1">
        <v>45847</v>
      </c>
      <c r="B707" t="s">
        <v>168</v>
      </c>
      <c r="C707" t="s">
        <v>159</v>
      </c>
      <c r="D707" t="s">
        <v>57</v>
      </c>
      <c r="E707">
        <v>9</v>
      </c>
      <c r="F707">
        <v>4</v>
      </c>
      <c r="G707">
        <v>2.4</v>
      </c>
      <c r="H707">
        <v>3500</v>
      </c>
      <c r="I707">
        <v>8400</v>
      </c>
      <c r="J707">
        <v>1260</v>
      </c>
      <c r="K707">
        <v>9660</v>
      </c>
    </row>
    <row r="708" spans="1:11" x14ac:dyDescent="0.25">
      <c r="A708" s="1">
        <v>45847</v>
      </c>
      <c r="B708" t="s">
        <v>153</v>
      </c>
      <c r="C708" t="s">
        <v>40</v>
      </c>
      <c r="D708" t="s">
        <v>19</v>
      </c>
      <c r="E708">
        <v>2</v>
      </c>
      <c r="F708">
        <v>0</v>
      </c>
      <c r="G708">
        <v>2</v>
      </c>
      <c r="H708">
        <v>2700</v>
      </c>
      <c r="I708">
        <v>5400</v>
      </c>
      <c r="J708">
        <v>810</v>
      </c>
      <c r="K708">
        <v>6210</v>
      </c>
    </row>
    <row r="709" spans="1:11" x14ac:dyDescent="0.25">
      <c r="A709" s="1">
        <v>45850</v>
      </c>
      <c r="B709" t="s">
        <v>42</v>
      </c>
      <c r="C709" t="s">
        <v>55</v>
      </c>
      <c r="D709" t="s">
        <v>26</v>
      </c>
      <c r="E709">
        <v>7</v>
      </c>
      <c r="F709">
        <v>809</v>
      </c>
      <c r="G709">
        <v>809</v>
      </c>
      <c r="H709">
        <v>70</v>
      </c>
      <c r="I709">
        <v>56630</v>
      </c>
      <c r="J709">
        <v>8494.5</v>
      </c>
      <c r="K709">
        <v>65124.5</v>
      </c>
    </row>
    <row r="710" spans="1:11" x14ac:dyDescent="0.25">
      <c r="A710" s="1">
        <v>45847</v>
      </c>
      <c r="B710" t="s">
        <v>60</v>
      </c>
      <c r="C710" t="s">
        <v>178</v>
      </c>
      <c r="D710" t="s">
        <v>19</v>
      </c>
      <c r="E710">
        <v>4</v>
      </c>
      <c r="F710">
        <v>8.4499999999999993</v>
      </c>
      <c r="G710">
        <v>8.4499999999999993</v>
      </c>
      <c r="H710">
        <v>2400</v>
      </c>
      <c r="I710">
        <v>20280</v>
      </c>
      <c r="J710">
        <v>3042</v>
      </c>
      <c r="K710">
        <v>23322</v>
      </c>
    </row>
    <row r="711" spans="1:11" x14ac:dyDescent="0.25">
      <c r="A711" s="1">
        <v>45847</v>
      </c>
      <c r="B711" t="s">
        <v>168</v>
      </c>
      <c r="C711" t="s">
        <v>159</v>
      </c>
      <c r="D711" t="s">
        <v>26</v>
      </c>
      <c r="E711">
        <v>8</v>
      </c>
      <c r="F711">
        <v>10</v>
      </c>
      <c r="G711">
        <v>9.32</v>
      </c>
      <c r="H711">
        <v>3500</v>
      </c>
      <c r="I711">
        <v>32620</v>
      </c>
      <c r="J711">
        <v>4893</v>
      </c>
      <c r="K711">
        <v>37513</v>
      </c>
    </row>
    <row r="712" spans="1:11" x14ac:dyDescent="0.25">
      <c r="A712" s="1">
        <v>45849</v>
      </c>
      <c r="B712" t="s">
        <v>42</v>
      </c>
      <c r="C712" t="s">
        <v>54</v>
      </c>
      <c r="D712" t="s">
        <v>27</v>
      </c>
      <c r="E712">
        <v>10</v>
      </c>
      <c r="F712">
        <v>44</v>
      </c>
      <c r="G712">
        <v>44</v>
      </c>
      <c r="H712">
        <v>70</v>
      </c>
      <c r="I712">
        <v>3080</v>
      </c>
      <c r="J712">
        <v>462</v>
      </c>
      <c r="K712">
        <v>3542</v>
      </c>
    </row>
    <row r="713" spans="1:11" x14ac:dyDescent="0.25">
      <c r="A713" s="1">
        <v>45847</v>
      </c>
      <c r="B713" t="s">
        <v>58</v>
      </c>
      <c r="C713" t="s">
        <v>81</v>
      </c>
      <c r="D713" t="s">
        <v>26</v>
      </c>
      <c r="E713">
        <v>4</v>
      </c>
      <c r="F713">
        <v>1</v>
      </c>
      <c r="G713">
        <v>20</v>
      </c>
      <c r="H713">
        <v>3500</v>
      </c>
      <c r="I713">
        <v>70000</v>
      </c>
      <c r="J713">
        <v>10500</v>
      </c>
      <c r="K713">
        <v>80500</v>
      </c>
    </row>
    <row r="714" spans="1:11" x14ac:dyDescent="0.25">
      <c r="A714" s="1">
        <v>45849</v>
      </c>
      <c r="B714" t="s">
        <v>42</v>
      </c>
      <c r="C714" t="s">
        <v>54</v>
      </c>
      <c r="D714" t="s">
        <v>19</v>
      </c>
      <c r="E714">
        <v>22</v>
      </c>
      <c r="F714">
        <v>101</v>
      </c>
      <c r="G714">
        <v>101</v>
      </c>
      <c r="H714">
        <v>70</v>
      </c>
      <c r="I714">
        <v>7070</v>
      </c>
      <c r="J714">
        <v>1060.5</v>
      </c>
      <c r="K714">
        <v>8130.5</v>
      </c>
    </row>
    <row r="715" spans="1:11" x14ac:dyDescent="0.25">
      <c r="A715" s="1">
        <v>45852</v>
      </c>
      <c r="B715" t="s">
        <v>65</v>
      </c>
      <c r="C715" t="s">
        <v>106</v>
      </c>
      <c r="D715" t="s">
        <v>24</v>
      </c>
      <c r="E715">
        <v>8</v>
      </c>
      <c r="F715">
        <v>1000</v>
      </c>
      <c r="G715">
        <v>1000</v>
      </c>
      <c r="H715">
        <v>70</v>
      </c>
      <c r="I715">
        <v>70000</v>
      </c>
      <c r="J715">
        <v>10500</v>
      </c>
      <c r="K715">
        <v>80500</v>
      </c>
    </row>
    <row r="716" spans="1:11" x14ac:dyDescent="0.25">
      <c r="A716" s="1">
        <v>45847</v>
      </c>
      <c r="B716" t="s">
        <v>80</v>
      </c>
      <c r="C716" t="s">
        <v>43</v>
      </c>
      <c r="D716" t="s">
        <v>57</v>
      </c>
      <c r="E716">
        <v>20</v>
      </c>
      <c r="F716">
        <v>20</v>
      </c>
      <c r="G716">
        <v>1048</v>
      </c>
      <c r="H716">
        <v>70</v>
      </c>
      <c r="I716">
        <v>73360</v>
      </c>
      <c r="J716">
        <v>11004</v>
      </c>
      <c r="K716">
        <v>84364</v>
      </c>
    </row>
    <row r="717" spans="1:11" x14ac:dyDescent="0.25">
      <c r="A717" s="1">
        <v>45847</v>
      </c>
      <c r="B717" t="s">
        <v>65</v>
      </c>
      <c r="C717" t="s">
        <v>50</v>
      </c>
      <c r="D717" t="s">
        <v>32</v>
      </c>
      <c r="E717">
        <v>4</v>
      </c>
      <c r="F717">
        <v>700</v>
      </c>
      <c r="G717">
        <v>700</v>
      </c>
      <c r="H717">
        <v>70</v>
      </c>
      <c r="I717">
        <v>49000</v>
      </c>
      <c r="J717">
        <v>7350</v>
      </c>
      <c r="K717">
        <v>56350</v>
      </c>
    </row>
    <row r="718" spans="1:11" x14ac:dyDescent="0.25">
      <c r="A718" s="1">
        <v>45847</v>
      </c>
      <c r="B718" t="s">
        <v>80</v>
      </c>
      <c r="C718" t="s">
        <v>96</v>
      </c>
      <c r="D718" t="s">
        <v>57</v>
      </c>
      <c r="E718">
        <v>32</v>
      </c>
      <c r="F718">
        <v>32</v>
      </c>
      <c r="G718">
        <v>3000</v>
      </c>
      <c r="H718">
        <v>70</v>
      </c>
      <c r="I718">
        <v>210000</v>
      </c>
      <c r="J718">
        <v>31500</v>
      </c>
      <c r="K718">
        <v>241500</v>
      </c>
    </row>
    <row r="719" spans="1:11" x14ac:dyDescent="0.25">
      <c r="A719" s="1">
        <v>45847</v>
      </c>
      <c r="B719" t="s">
        <v>80</v>
      </c>
      <c r="C719" t="s">
        <v>41</v>
      </c>
      <c r="D719" t="s">
        <v>22</v>
      </c>
      <c r="E719">
        <v>17</v>
      </c>
      <c r="F719">
        <v>715</v>
      </c>
      <c r="G719">
        <v>715</v>
      </c>
      <c r="H719">
        <v>70</v>
      </c>
      <c r="I719">
        <v>50050</v>
      </c>
      <c r="J719">
        <v>7507.5</v>
      </c>
      <c r="K719">
        <v>57557.5</v>
      </c>
    </row>
    <row r="720" spans="1:11" x14ac:dyDescent="0.25">
      <c r="A720" s="1">
        <v>45847</v>
      </c>
      <c r="B720" t="s">
        <v>20</v>
      </c>
      <c r="C720" t="s">
        <v>46</v>
      </c>
      <c r="D720" t="s">
        <v>32</v>
      </c>
      <c r="E720">
        <v>8</v>
      </c>
      <c r="F720">
        <v>400</v>
      </c>
      <c r="G720">
        <v>400</v>
      </c>
      <c r="H720">
        <v>90</v>
      </c>
      <c r="I720">
        <v>36000</v>
      </c>
      <c r="J720">
        <v>5400</v>
      </c>
      <c r="K720">
        <v>41400</v>
      </c>
    </row>
    <row r="721" spans="1:11" x14ac:dyDescent="0.25">
      <c r="A721" s="1">
        <v>45847</v>
      </c>
      <c r="B721" t="s">
        <v>12</v>
      </c>
      <c r="C721" t="s">
        <v>48</v>
      </c>
      <c r="D721" t="s">
        <v>32</v>
      </c>
      <c r="E721">
        <v>9</v>
      </c>
      <c r="F721">
        <v>1</v>
      </c>
      <c r="G721">
        <v>7.43</v>
      </c>
      <c r="H721">
        <v>15000</v>
      </c>
      <c r="I721">
        <v>111450</v>
      </c>
      <c r="J721">
        <v>16717.5</v>
      </c>
      <c r="K721">
        <v>128167.5</v>
      </c>
    </row>
    <row r="722" spans="1:11" x14ac:dyDescent="0.25">
      <c r="A722" s="1">
        <v>45849</v>
      </c>
      <c r="B722" t="s">
        <v>42</v>
      </c>
      <c r="C722" t="s">
        <v>35</v>
      </c>
      <c r="D722" t="s">
        <v>19</v>
      </c>
      <c r="E722">
        <v>5</v>
      </c>
      <c r="F722">
        <v>34</v>
      </c>
      <c r="G722">
        <v>34</v>
      </c>
      <c r="H722">
        <v>70</v>
      </c>
      <c r="I722">
        <v>2380</v>
      </c>
      <c r="J722">
        <v>357</v>
      </c>
      <c r="K722">
        <v>2737</v>
      </c>
    </row>
    <row r="723" spans="1:11" x14ac:dyDescent="0.25">
      <c r="A723" s="1">
        <v>45849</v>
      </c>
      <c r="B723" t="s">
        <v>42</v>
      </c>
      <c r="C723" t="s">
        <v>55</v>
      </c>
      <c r="D723" t="s">
        <v>17</v>
      </c>
      <c r="E723">
        <v>5</v>
      </c>
      <c r="F723">
        <v>893</v>
      </c>
      <c r="G723">
        <v>893</v>
      </c>
      <c r="H723">
        <v>70</v>
      </c>
      <c r="I723">
        <v>62510</v>
      </c>
      <c r="J723">
        <v>9376.5</v>
      </c>
      <c r="K723">
        <v>71886.5</v>
      </c>
    </row>
    <row r="724" spans="1:11" x14ac:dyDescent="0.25">
      <c r="A724" s="1">
        <v>45847</v>
      </c>
      <c r="B724" t="s">
        <v>65</v>
      </c>
      <c r="C724" t="s">
        <v>46</v>
      </c>
      <c r="D724" t="s">
        <v>32</v>
      </c>
      <c r="E724">
        <v>2</v>
      </c>
      <c r="F724">
        <v>396</v>
      </c>
      <c r="G724">
        <v>396</v>
      </c>
      <c r="H724">
        <v>70</v>
      </c>
      <c r="I724">
        <v>27720</v>
      </c>
      <c r="J724">
        <v>4158</v>
      </c>
      <c r="K724">
        <v>31878</v>
      </c>
    </row>
    <row r="725" spans="1:11" x14ac:dyDescent="0.25">
      <c r="A725" s="1">
        <v>45847</v>
      </c>
      <c r="B725" t="s">
        <v>20</v>
      </c>
      <c r="C725" t="s">
        <v>100</v>
      </c>
      <c r="D725" t="s">
        <v>24</v>
      </c>
      <c r="E725">
        <v>7</v>
      </c>
      <c r="F725">
        <v>706</v>
      </c>
      <c r="G725">
        <v>706</v>
      </c>
      <c r="H725">
        <v>90</v>
      </c>
      <c r="I725">
        <v>63540</v>
      </c>
      <c r="J725">
        <v>9531</v>
      </c>
      <c r="K725">
        <v>73071</v>
      </c>
    </row>
    <row r="726" spans="1:11" x14ac:dyDescent="0.25">
      <c r="A726" s="1">
        <v>45847</v>
      </c>
      <c r="B726" t="s">
        <v>202</v>
      </c>
      <c r="C726" t="s">
        <v>81</v>
      </c>
      <c r="D726" t="s">
        <v>24</v>
      </c>
      <c r="E726">
        <v>3</v>
      </c>
      <c r="F726">
        <v>1</v>
      </c>
      <c r="G726">
        <v>14960</v>
      </c>
      <c r="H726">
        <v>20</v>
      </c>
      <c r="I726">
        <v>299200</v>
      </c>
      <c r="J726">
        <v>44880</v>
      </c>
      <c r="K726">
        <v>344080</v>
      </c>
    </row>
    <row r="727" spans="1:11" x14ac:dyDescent="0.25">
      <c r="A727" s="1">
        <v>45849</v>
      </c>
      <c r="B727" t="s">
        <v>42</v>
      </c>
      <c r="C727" t="s">
        <v>55</v>
      </c>
      <c r="D727" t="s">
        <v>32</v>
      </c>
      <c r="E727">
        <v>8</v>
      </c>
      <c r="F727">
        <v>996</v>
      </c>
      <c r="G727">
        <v>996</v>
      </c>
      <c r="H727">
        <v>70</v>
      </c>
      <c r="I727">
        <v>69720</v>
      </c>
      <c r="J727">
        <v>10458</v>
      </c>
      <c r="K727">
        <v>80178</v>
      </c>
    </row>
    <row r="728" spans="1:11" x14ac:dyDescent="0.25">
      <c r="A728" s="1">
        <v>45849</v>
      </c>
      <c r="B728" t="s">
        <v>42</v>
      </c>
      <c r="C728" t="s">
        <v>38</v>
      </c>
      <c r="D728" t="s">
        <v>26</v>
      </c>
      <c r="E728">
        <v>6</v>
      </c>
      <c r="F728">
        <v>365</v>
      </c>
      <c r="G728">
        <v>365</v>
      </c>
      <c r="H728">
        <v>70</v>
      </c>
      <c r="I728">
        <v>25550</v>
      </c>
      <c r="J728">
        <v>3832.5</v>
      </c>
      <c r="K728">
        <v>29382.5</v>
      </c>
    </row>
    <row r="729" spans="1:11" x14ac:dyDescent="0.25">
      <c r="A729" s="1">
        <v>45845</v>
      </c>
      <c r="B729" t="s">
        <v>20</v>
      </c>
      <c r="C729" t="s">
        <v>51</v>
      </c>
      <c r="D729" t="s">
        <v>59</v>
      </c>
      <c r="E729">
        <v>3</v>
      </c>
      <c r="F729">
        <v>9</v>
      </c>
      <c r="G729">
        <v>500</v>
      </c>
      <c r="H729">
        <v>90</v>
      </c>
      <c r="I729">
        <v>45000</v>
      </c>
      <c r="J729">
        <v>6750</v>
      </c>
      <c r="K729">
        <v>51750</v>
      </c>
    </row>
    <row r="730" spans="1:11" x14ac:dyDescent="0.25">
      <c r="A730" s="1">
        <v>45848</v>
      </c>
      <c r="B730" t="s">
        <v>20</v>
      </c>
      <c r="C730" t="s">
        <v>51</v>
      </c>
      <c r="D730" t="s">
        <v>26</v>
      </c>
      <c r="E730">
        <v>4</v>
      </c>
      <c r="F730">
        <v>140</v>
      </c>
      <c r="G730">
        <v>140</v>
      </c>
      <c r="H730">
        <v>90</v>
      </c>
      <c r="I730">
        <v>12600</v>
      </c>
      <c r="J730">
        <v>1890</v>
      </c>
      <c r="K730">
        <v>14490</v>
      </c>
    </row>
    <row r="731" spans="1:11" x14ac:dyDescent="0.25">
      <c r="A731" s="1">
        <v>45848</v>
      </c>
      <c r="B731" t="s">
        <v>153</v>
      </c>
      <c r="C731" t="s">
        <v>81</v>
      </c>
      <c r="D731" t="s">
        <v>19</v>
      </c>
      <c r="E731">
        <v>2</v>
      </c>
      <c r="F731">
        <v>0</v>
      </c>
      <c r="G731">
        <v>2</v>
      </c>
      <c r="H731">
        <v>2700</v>
      </c>
      <c r="I731">
        <v>5400</v>
      </c>
      <c r="J731">
        <v>810</v>
      </c>
      <c r="K731">
        <v>6210</v>
      </c>
    </row>
    <row r="732" spans="1:11" x14ac:dyDescent="0.25">
      <c r="A732" s="1">
        <v>45848</v>
      </c>
      <c r="B732" t="s">
        <v>20</v>
      </c>
      <c r="C732" t="s">
        <v>51</v>
      </c>
      <c r="D732" t="s">
        <v>27</v>
      </c>
      <c r="E732">
        <v>4</v>
      </c>
      <c r="F732">
        <v>30</v>
      </c>
      <c r="G732">
        <v>30</v>
      </c>
      <c r="H732">
        <v>90</v>
      </c>
      <c r="I732">
        <v>2700</v>
      </c>
      <c r="J732">
        <v>405</v>
      </c>
      <c r="K732">
        <v>3105</v>
      </c>
    </row>
    <row r="733" spans="1:11" x14ac:dyDescent="0.25">
      <c r="A733" s="1">
        <v>45848</v>
      </c>
      <c r="B733" t="s">
        <v>60</v>
      </c>
      <c r="C733" t="s">
        <v>203</v>
      </c>
      <c r="D733" t="s">
        <v>19</v>
      </c>
      <c r="E733">
        <v>56</v>
      </c>
      <c r="F733">
        <v>7.55</v>
      </c>
      <c r="G733">
        <v>7.55</v>
      </c>
      <c r="H733">
        <v>2400</v>
      </c>
      <c r="I733">
        <v>18120</v>
      </c>
      <c r="J733">
        <v>2718</v>
      </c>
      <c r="K733">
        <v>20838</v>
      </c>
    </row>
    <row r="734" spans="1:11" x14ac:dyDescent="0.25">
      <c r="A734" s="1">
        <v>45848</v>
      </c>
      <c r="B734" t="s">
        <v>199</v>
      </c>
      <c r="C734" t="s">
        <v>155</v>
      </c>
      <c r="D734" t="s">
        <v>11</v>
      </c>
      <c r="E734">
        <v>1</v>
      </c>
      <c r="F734">
        <v>1</v>
      </c>
      <c r="G734">
        <v>1</v>
      </c>
      <c r="H734" s="2">
        <v>3000</v>
      </c>
      <c r="I734">
        <v>3000</v>
      </c>
      <c r="J734">
        <v>450</v>
      </c>
      <c r="K734">
        <v>3450</v>
      </c>
    </row>
    <row r="735" spans="1:11" x14ac:dyDescent="0.25">
      <c r="A735" s="1">
        <v>45848</v>
      </c>
      <c r="B735" t="s">
        <v>204</v>
      </c>
      <c r="C735" t="s">
        <v>205</v>
      </c>
      <c r="D735" t="s">
        <v>63</v>
      </c>
      <c r="E735">
        <v>1</v>
      </c>
      <c r="F735">
        <v>147</v>
      </c>
      <c r="G735">
        <v>147</v>
      </c>
      <c r="H735">
        <v>100</v>
      </c>
      <c r="I735">
        <v>14700</v>
      </c>
      <c r="J735">
        <v>2205</v>
      </c>
      <c r="K735">
        <v>16905</v>
      </c>
    </row>
    <row r="736" spans="1:11" x14ac:dyDescent="0.25">
      <c r="A736" s="1">
        <v>45849</v>
      </c>
      <c r="B736" t="s">
        <v>42</v>
      </c>
      <c r="C736" t="s">
        <v>38</v>
      </c>
      <c r="D736" t="s">
        <v>27</v>
      </c>
      <c r="E736">
        <v>3</v>
      </c>
      <c r="F736">
        <v>44</v>
      </c>
      <c r="G736">
        <v>44</v>
      </c>
      <c r="H736">
        <v>70</v>
      </c>
      <c r="I736">
        <v>3080</v>
      </c>
      <c r="J736">
        <v>462</v>
      </c>
      <c r="K736">
        <v>3542</v>
      </c>
    </row>
    <row r="737" spans="1:11" x14ac:dyDescent="0.25">
      <c r="A737" s="1">
        <v>45848</v>
      </c>
      <c r="B737" t="s">
        <v>168</v>
      </c>
      <c r="C737" t="s">
        <v>156</v>
      </c>
      <c r="D737" t="s">
        <v>26</v>
      </c>
      <c r="E737">
        <v>6</v>
      </c>
      <c r="F737">
        <v>5</v>
      </c>
      <c r="G737">
        <v>17.37</v>
      </c>
      <c r="H737">
        <v>3500</v>
      </c>
      <c r="I737">
        <v>60795</v>
      </c>
      <c r="J737">
        <v>9119.25</v>
      </c>
      <c r="K737">
        <v>69914.25</v>
      </c>
    </row>
    <row r="738" spans="1:11" x14ac:dyDescent="0.25">
      <c r="A738" s="1">
        <v>45848</v>
      </c>
      <c r="B738" t="s">
        <v>131</v>
      </c>
      <c r="C738" t="s">
        <v>196</v>
      </c>
      <c r="D738" t="s">
        <v>26</v>
      </c>
      <c r="E738">
        <v>20</v>
      </c>
      <c r="F738">
        <v>5</v>
      </c>
      <c r="G738">
        <v>20</v>
      </c>
      <c r="H738">
        <v>3000</v>
      </c>
      <c r="I738">
        <v>60000</v>
      </c>
      <c r="J738">
        <v>9000</v>
      </c>
      <c r="K738">
        <v>69000</v>
      </c>
    </row>
    <row r="739" spans="1:11" x14ac:dyDescent="0.25">
      <c r="A739" s="1">
        <v>45848</v>
      </c>
      <c r="B739" t="s">
        <v>36</v>
      </c>
      <c r="C739" t="s">
        <v>159</v>
      </c>
      <c r="D739" t="s">
        <v>32</v>
      </c>
      <c r="E739">
        <v>10</v>
      </c>
      <c r="F739">
        <v>10</v>
      </c>
      <c r="G739">
        <v>10</v>
      </c>
      <c r="H739">
        <v>2400</v>
      </c>
      <c r="I739">
        <v>24000</v>
      </c>
      <c r="J739">
        <v>3600</v>
      </c>
      <c r="K739">
        <v>27600</v>
      </c>
    </row>
    <row r="740" spans="1:11" x14ac:dyDescent="0.25">
      <c r="A740" s="1">
        <v>45848</v>
      </c>
      <c r="B740" t="s">
        <v>20</v>
      </c>
      <c r="C740" t="s">
        <v>54</v>
      </c>
      <c r="D740" t="s">
        <v>19</v>
      </c>
      <c r="E740">
        <v>5</v>
      </c>
      <c r="F740">
        <v>8</v>
      </c>
      <c r="G740">
        <v>402</v>
      </c>
      <c r="H740">
        <v>90</v>
      </c>
      <c r="I740">
        <v>36180</v>
      </c>
      <c r="J740">
        <v>5427</v>
      </c>
      <c r="K740">
        <v>41607</v>
      </c>
    </row>
    <row r="741" spans="1:11" x14ac:dyDescent="0.25">
      <c r="A741" s="1">
        <v>45848</v>
      </c>
      <c r="B741" t="s">
        <v>20</v>
      </c>
      <c r="C741" t="s">
        <v>35</v>
      </c>
      <c r="D741" t="s">
        <v>19</v>
      </c>
      <c r="E741">
        <v>4</v>
      </c>
      <c r="F741">
        <v>13</v>
      </c>
      <c r="G741">
        <v>500</v>
      </c>
      <c r="H741">
        <v>90</v>
      </c>
      <c r="I741">
        <v>45000</v>
      </c>
      <c r="J741">
        <v>6750</v>
      </c>
      <c r="K741">
        <v>51750</v>
      </c>
    </row>
    <row r="742" spans="1:11" x14ac:dyDescent="0.25">
      <c r="A742" s="1">
        <v>45848</v>
      </c>
      <c r="B742" t="s">
        <v>36</v>
      </c>
      <c r="C742" t="s">
        <v>206</v>
      </c>
      <c r="D742" t="s">
        <v>19</v>
      </c>
      <c r="E742">
        <v>3</v>
      </c>
      <c r="F742">
        <v>6</v>
      </c>
      <c r="G742">
        <v>10</v>
      </c>
      <c r="H742">
        <v>2400</v>
      </c>
      <c r="I742">
        <v>24000</v>
      </c>
      <c r="J742">
        <v>3600</v>
      </c>
      <c r="K742">
        <v>27600</v>
      </c>
    </row>
    <row r="743" spans="1:11" x14ac:dyDescent="0.25">
      <c r="A743" s="1">
        <v>45848</v>
      </c>
      <c r="B743" t="s">
        <v>20</v>
      </c>
      <c r="C743" t="s">
        <v>109</v>
      </c>
      <c r="D743" t="s">
        <v>24</v>
      </c>
      <c r="E743">
        <v>19</v>
      </c>
      <c r="F743">
        <v>305</v>
      </c>
      <c r="G743">
        <v>305</v>
      </c>
      <c r="H743">
        <v>90</v>
      </c>
      <c r="I743">
        <v>27450</v>
      </c>
      <c r="J743">
        <v>4117.5</v>
      </c>
      <c r="K743">
        <v>31567.5</v>
      </c>
    </row>
    <row r="744" spans="1:11" x14ac:dyDescent="0.25">
      <c r="A744" s="1">
        <v>45845</v>
      </c>
      <c r="B744" t="s">
        <v>20</v>
      </c>
      <c r="C744" t="s">
        <v>38</v>
      </c>
      <c r="D744" t="s">
        <v>22</v>
      </c>
      <c r="E744">
        <v>2</v>
      </c>
      <c r="F744">
        <v>81</v>
      </c>
      <c r="G744">
        <v>81</v>
      </c>
      <c r="H744">
        <v>90</v>
      </c>
      <c r="I744">
        <v>7290</v>
      </c>
      <c r="J744">
        <v>1093.5</v>
      </c>
      <c r="K744">
        <v>8383.5</v>
      </c>
    </row>
    <row r="745" spans="1:11" x14ac:dyDescent="0.25">
      <c r="A745" s="1">
        <v>45848</v>
      </c>
      <c r="B745" t="s">
        <v>20</v>
      </c>
      <c r="C745" t="s">
        <v>109</v>
      </c>
      <c r="D745" t="s">
        <v>22</v>
      </c>
      <c r="E745">
        <v>2</v>
      </c>
      <c r="F745">
        <v>500</v>
      </c>
      <c r="G745">
        <v>500</v>
      </c>
      <c r="H745">
        <v>90</v>
      </c>
      <c r="I745">
        <v>45000</v>
      </c>
      <c r="J745">
        <v>6750</v>
      </c>
      <c r="K745">
        <v>51750</v>
      </c>
    </row>
    <row r="746" spans="1:11" x14ac:dyDescent="0.25">
      <c r="A746" s="1">
        <v>45848</v>
      </c>
      <c r="B746" t="s">
        <v>36</v>
      </c>
      <c r="C746" t="s">
        <v>66</v>
      </c>
      <c r="D746" t="s">
        <v>17</v>
      </c>
      <c r="E746">
        <v>7</v>
      </c>
      <c r="F746">
        <v>8</v>
      </c>
      <c r="G746">
        <v>10</v>
      </c>
      <c r="H746">
        <v>2400</v>
      </c>
      <c r="I746">
        <v>24000</v>
      </c>
      <c r="J746">
        <v>3600</v>
      </c>
      <c r="K746">
        <v>27600</v>
      </c>
    </row>
    <row r="747" spans="1:11" x14ac:dyDescent="0.25">
      <c r="A747" s="1">
        <v>45848</v>
      </c>
      <c r="B747" t="s">
        <v>36</v>
      </c>
      <c r="C747" t="s">
        <v>151</v>
      </c>
      <c r="D747" t="s">
        <v>24</v>
      </c>
      <c r="E747">
        <v>7</v>
      </c>
      <c r="F747">
        <v>5</v>
      </c>
      <c r="G747">
        <v>10</v>
      </c>
      <c r="H747">
        <v>2400</v>
      </c>
      <c r="I747">
        <v>24000</v>
      </c>
      <c r="J747">
        <v>3600</v>
      </c>
      <c r="K747">
        <v>27600</v>
      </c>
    </row>
    <row r="748" spans="1:11" x14ac:dyDescent="0.25">
      <c r="A748" s="1">
        <v>45849</v>
      </c>
      <c r="B748" t="s">
        <v>42</v>
      </c>
      <c r="C748" t="s">
        <v>38</v>
      </c>
      <c r="D748" t="s">
        <v>19</v>
      </c>
      <c r="E748">
        <v>9</v>
      </c>
      <c r="F748">
        <v>210</v>
      </c>
      <c r="G748">
        <v>210</v>
      </c>
      <c r="H748">
        <v>70</v>
      </c>
      <c r="I748">
        <v>14700</v>
      </c>
      <c r="J748">
        <v>2205</v>
      </c>
      <c r="K748">
        <v>16905</v>
      </c>
    </row>
    <row r="749" spans="1:11" x14ac:dyDescent="0.25">
      <c r="A749" s="1">
        <v>45848</v>
      </c>
      <c r="B749" t="s">
        <v>199</v>
      </c>
      <c r="C749" t="s">
        <v>178</v>
      </c>
      <c r="D749" t="s">
        <v>11</v>
      </c>
      <c r="E749">
        <v>1</v>
      </c>
      <c r="F749">
        <v>1</v>
      </c>
      <c r="G749">
        <v>1</v>
      </c>
      <c r="H749" s="2">
        <v>3000</v>
      </c>
      <c r="I749">
        <v>3000</v>
      </c>
      <c r="J749">
        <v>450</v>
      </c>
      <c r="K749">
        <v>3450</v>
      </c>
    </row>
    <row r="750" spans="1:11" x14ac:dyDescent="0.25">
      <c r="A750" s="1">
        <v>45848</v>
      </c>
      <c r="B750" t="s">
        <v>20</v>
      </c>
      <c r="C750" t="s">
        <v>55</v>
      </c>
      <c r="D750" t="s">
        <v>19</v>
      </c>
      <c r="E750">
        <v>4</v>
      </c>
      <c r="F750">
        <v>5</v>
      </c>
      <c r="G750">
        <v>500</v>
      </c>
      <c r="H750">
        <v>90</v>
      </c>
      <c r="I750">
        <v>45000</v>
      </c>
      <c r="J750">
        <v>6750</v>
      </c>
      <c r="K750">
        <v>51750</v>
      </c>
    </row>
    <row r="751" spans="1:11" x14ac:dyDescent="0.25">
      <c r="A751" s="1">
        <v>45848</v>
      </c>
      <c r="B751" t="s">
        <v>20</v>
      </c>
      <c r="C751" t="s">
        <v>35</v>
      </c>
      <c r="D751" t="s">
        <v>17</v>
      </c>
      <c r="E751">
        <v>7</v>
      </c>
      <c r="F751">
        <v>781</v>
      </c>
      <c r="G751">
        <v>781</v>
      </c>
      <c r="H751">
        <v>90</v>
      </c>
      <c r="I751">
        <v>70290</v>
      </c>
      <c r="J751">
        <v>10543.5</v>
      </c>
      <c r="K751">
        <v>80833.5</v>
      </c>
    </row>
    <row r="752" spans="1:11" x14ac:dyDescent="0.25">
      <c r="A752" s="1">
        <v>45848</v>
      </c>
      <c r="B752" t="s">
        <v>20</v>
      </c>
      <c r="C752" t="s">
        <v>55</v>
      </c>
      <c r="D752" t="s">
        <v>32</v>
      </c>
      <c r="E752">
        <v>11</v>
      </c>
      <c r="F752">
        <v>93</v>
      </c>
      <c r="G752">
        <v>93</v>
      </c>
      <c r="H752">
        <v>90</v>
      </c>
      <c r="I752">
        <v>8370</v>
      </c>
      <c r="J752">
        <v>1255.5</v>
      </c>
      <c r="K752">
        <v>9625.5</v>
      </c>
    </row>
    <row r="753" spans="1:11" x14ac:dyDescent="0.25">
      <c r="A753" s="1">
        <v>45848</v>
      </c>
      <c r="B753" t="s">
        <v>20</v>
      </c>
      <c r="C753" t="s">
        <v>38</v>
      </c>
      <c r="D753" t="s">
        <v>24</v>
      </c>
      <c r="E753">
        <v>10</v>
      </c>
      <c r="F753">
        <v>1000</v>
      </c>
      <c r="G753">
        <v>1000</v>
      </c>
      <c r="H753">
        <v>90</v>
      </c>
      <c r="I753">
        <v>90000</v>
      </c>
      <c r="J753">
        <v>13500</v>
      </c>
      <c r="K753">
        <v>103500</v>
      </c>
    </row>
    <row r="754" spans="1:11" x14ac:dyDescent="0.25">
      <c r="A754" s="1">
        <v>45848</v>
      </c>
      <c r="B754" t="s">
        <v>20</v>
      </c>
      <c r="C754" t="s">
        <v>55</v>
      </c>
      <c r="D754" t="s">
        <v>17</v>
      </c>
      <c r="E754">
        <v>13</v>
      </c>
      <c r="F754">
        <v>345</v>
      </c>
      <c r="G754">
        <v>345</v>
      </c>
      <c r="H754">
        <v>90</v>
      </c>
      <c r="I754">
        <v>31050</v>
      </c>
      <c r="J754">
        <v>4657.5</v>
      </c>
      <c r="K754">
        <v>35707.5</v>
      </c>
    </row>
    <row r="755" spans="1:11" x14ac:dyDescent="0.25">
      <c r="A755" s="1">
        <v>45848</v>
      </c>
      <c r="B755" t="s">
        <v>20</v>
      </c>
      <c r="C755" t="s">
        <v>38</v>
      </c>
      <c r="D755" t="s">
        <v>19</v>
      </c>
      <c r="E755">
        <v>6</v>
      </c>
      <c r="F755">
        <v>5</v>
      </c>
      <c r="G755">
        <v>500</v>
      </c>
      <c r="H755">
        <v>90</v>
      </c>
      <c r="I755">
        <v>45000</v>
      </c>
      <c r="J755">
        <v>6750</v>
      </c>
      <c r="K755">
        <v>51750</v>
      </c>
    </row>
    <row r="756" spans="1:11" x14ac:dyDescent="0.25">
      <c r="A756" s="1">
        <v>45848</v>
      </c>
      <c r="B756" t="s">
        <v>20</v>
      </c>
      <c r="C756" t="s">
        <v>55</v>
      </c>
      <c r="D756" t="s">
        <v>22</v>
      </c>
      <c r="E756">
        <v>2</v>
      </c>
      <c r="F756">
        <v>250</v>
      </c>
      <c r="G756">
        <v>250</v>
      </c>
      <c r="H756">
        <v>90</v>
      </c>
      <c r="I756">
        <v>22500</v>
      </c>
      <c r="J756">
        <v>3375</v>
      </c>
      <c r="K756">
        <v>25875</v>
      </c>
    </row>
    <row r="757" spans="1:11" x14ac:dyDescent="0.25">
      <c r="A757" s="1">
        <v>45848</v>
      </c>
      <c r="B757" t="s">
        <v>20</v>
      </c>
      <c r="C757" t="s">
        <v>49</v>
      </c>
      <c r="D757" t="s">
        <v>17</v>
      </c>
      <c r="E757">
        <v>6</v>
      </c>
      <c r="F757">
        <v>588</v>
      </c>
      <c r="G757">
        <v>588</v>
      </c>
      <c r="H757">
        <v>90</v>
      </c>
      <c r="I757">
        <v>52920</v>
      </c>
      <c r="J757">
        <v>7938</v>
      </c>
      <c r="K757">
        <v>60858</v>
      </c>
    </row>
    <row r="758" spans="1:11" x14ac:dyDescent="0.25">
      <c r="A758" s="1">
        <v>45848</v>
      </c>
      <c r="B758" t="s">
        <v>20</v>
      </c>
      <c r="C758" t="s">
        <v>49</v>
      </c>
      <c r="D758" t="s">
        <v>193</v>
      </c>
      <c r="E758">
        <v>4</v>
      </c>
      <c r="F758">
        <v>199</v>
      </c>
      <c r="G758">
        <v>199</v>
      </c>
      <c r="H758">
        <v>90</v>
      </c>
      <c r="I758">
        <v>17910</v>
      </c>
      <c r="J758">
        <v>2686.5</v>
      </c>
      <c r="K758">
        <v>20596.5</v>
      </c>
    </row>
    <row r="759" spans="1:11" x14ac:dyDescent="0.25">
      <c r="A759" s="1">
        <v>45848</v>
      </c>
      <c r="B759" t="s">
        <v>20</v>
      </c>
      <c r="C759" t="s">
        <v>49</v>
      </c>
      <c r="D759" t="s">
        <v>63</v>
      </c>
      <c r="E759">
        <v>9</v>
      </c>
      <c r="F759">
        <v>288</v>
      </c>
      <c r="G759">
        <v>288</v>
      </c>
      <c r="H759">
        <v>90</v>
      </c>
      <c r="I759">
        <v>25920</v>
      </c>
      <c r="J759">
        <v>3888</v>
      </c>
      <c r="K759">
        <v>29808</v>
      </c>
    </row>
    <row r="760" spans="1:11" x14ac:dyDescent="0.25">
      <c r="A760" s="1">
        <v>45848</v>
      </c>
      <c r="B760" t="s">
        <v>80</v>
      </c>
      <c r="C760" t="s">
        <v>142</v>
      </c>
      <c r="D760" t="s">
        <v>17</v>
      </c>
      <c r="E760">
        <v>6</v>
      </c>
      <c r="F760">
        <v>7</v>
      </c>
      <c r="G760">
        <v>1000</v>
      </c>
      <c r="H760">
        <v>70</v>
      </c>
      <c r="I760">
        <v>70000</v>
      </c>
      <c r="J760">
        <v>10500</v>
      </c>
      <c r="K760">
        <v>80500</v>
      </c>
    </row>
    <row r="761" spans="1:11" x14ac:dyDescent="0.25">
      <c r="A761" s="1">
        <v>45850</v>
      </c>
      <c r="B761" t="s">
        <v>42</v>
      </c>
      <c r="C761" t="s">
        <v>47</v>
      </c>
      <c r="D761" t="s">
        <v>26</v>
      </c>
      <c r="E761">
        <v>7</v>
      </c>
      <c r="F761">
        <v>291</v>
      </c>
      <c r="G761">
        <v>291</v>
      </c>
      <c r="H761">
        <v>70</v>
      </c>
      <c r="I761">
        <v>20370</v>
      </c>
      <c r="J761">
        <v>3055.5</v>
      </c>
      <c r="K761">
        <v>23425.5</v>
      </c>
    </row>
    <row r="762" spans="1:11" x14ac:dyDescent="0.25">
      <c r="A762" s="1">
        <v>45848</v>
      </c>
      <c r="B762" t="s">
        <v>202</v>
      </c>
      <c r="C762" t="s">
        <v>121</v>
      </c>
      <c r="D762" t="s">
        <v>24</v>
      </c>
      <c r="E762">
        <v>3</v>
      </c>
      <c r="F762">
        <v>1</v>
      </c>
      <c r="G762">
        <v>12926</v>
      </c>
      <c r="H762">
        <v>20</v>
      </c>
      <c r="I762">
        <v>258520</v>
      </c>
      <c r="J762">
        <v>38778</v>
      </c>
      <c r="K762">
        <v>297298</v>
      </c>
    </row>
    <row r="763" spans="1:11" x14ac:dyDescent="0.25">
      <c r="A763" s="1">
        <v>45840</v>
      </c>
      <c r="B763" t="s">
        <v>122</v>
      </c>
      <c r="C763" t="s">
        <v>81</v>
      </c>
      <c r="D763" t="s">
        <v>17</v>
      </c>
      <c r="E763">
        <v>3</v>
      </c>
      <c r="F763">
        <v>43</v>
      </c>
      <c r="G763">
        <v>43</v>
      </c>
      <c r="H763">
        <v>90</v>
      </c>
      <c r="I763">
        <v>3870</v>
      </c>
      <c r="J763">
        <v>580.5</v>
      </c>
      <c r="K763">
        <v>4450.5</v>
      </c>
    </row>
    <row r="764" spans="1:11" x14ac:dyDescent="0.25">
      <c r="A764" s="1">
        <v>45840</v>
      </c>
      <c r="B764" t="s">
        <v>120</v>
      </c>
      <c r="C764" t="s">
        <v>18</v>
      </c>
      <c r="D764" t="s">
        <v>26</v>
      </c>
      <c r="E764">
        <v>7</v>
      </c>
      <c r="F764">
        <v>1644</v>
      </c>
      <c r="G764">
        <v>1644</v>
      </c>
      <c r="H764">
        <v>5</v>
      </c>
      <c r="I764">
        <v>8220</v>
      </c>
      <c r="J764">
        <v>1233</v>
      </c>
      <c r="K764">
        <v>9453</v>
      </c>
    </row>
    <row r="765" spans="1:11" x14ac:dyDescent="0.25">
      <c r="A765" s="1">
        <v>45840</v>
      </c>
      <c r="B765" t="s">
        <v>122</v>
      </c>
      <c r="C765" t="s">
        <v>103</v>
      </c>
      <c r="D765" t="s">
        <v>24</v>
      </c>
      <c r="E765">
        <v>5</v>
      </c>
      <c r="F765">
        <v>71</v>
      </c>
      <c r="G765">
        <v>71</v>
      </c>
      <c r="H765">
        <v>90</v>
      </c>
      <c r="I765">
        <v>6390</v>
      </c>
      <c r="J765">
        <v>958.5</v>
      </c>
      <c r="K765">
        <v>7348.5</v>
      </c>
    </row>
    <row r="766" spans="1:11" x14ac:dyDescent="0.25">
      <c r="A766" s="1">
        <v>45848</v>
      </c>
      <c r="B766" t="s">
        <v>120</v>
      </c>
      <c r="C766" t="s">
        <v>49</v>
      </c>
      <c r="D766" t="s">
        <v>11</v>
      </c>
      <c r="E766">
        <v>8</v>
      </c>
      <c r="F766">
        <v>2000</v>
      </c>
      <c r="G766">
        <v>2000</v>
      </c>
      <c r="H766">
        <v>5</v>
      </c>
      <c r="I766">
        <v>10000</v>
      </c>
      <c r="J766">
        <v>1500</v>
      </c>
      <c r="K766">
        <v>11500</v>
      </c>
    </row>
    <row r="767" spans="1:11" x14ac:dyDescent="0.25">
      <c r="A767" s="1">
        <v>45848</v>
      </c>
      <c r="B767" t="s">
        <v>153</v>
      </c>
      <c r="C767" t="s">
        <v>99</v>
      </c>
      <c r="D767" t="s">
        <v>19</v>
      </c>
      <c r="E767">
        <v>1</v>
      </c>
      <c r="F767">
        <v>0</v>
      </c>
      <c r="G767">
        <v>1</v>
      </c>
      <c r="H767">
        <v>2700</v>
      </c>
      <c r="I767">
        <v>2700</v>
      </c>
      <c r="J767">
        <v>405</v>
      </c>
      <c r="K767">
        <v>3105</v>
      </c>
    </row>
    <row r="768" spans="1:11" x14ac:dyDescent="0.25">
      <c r="A768" s="1">
        <v>45848</v>
      </c>
      <c r="B768" t="s">
        <v>60</v>
      </c>
      <c r="C768" t="s">
        <v>77</v>
      </c>
      <c r="D768" t="s">
        <v>19</v>
      </c>
      <c r="E768">
        <v>5</v>
      </c>
      <c r="F768">
        <v>5.43</v>
      </c>
      <c r="G768">
        <v>5.43</v>
      </c>
      <c r="H768">
        <v>2400</v>
      </c>
      <c r="I768">
        <v>13032</v>
      </c>
      <c r="J768">
        <v>1954.8</v>
      </c>
      <c r="K768">
        <v>14986.8</v>
      </c>
    </row>
    <row r="769" spans="1:11" x14ac:dyDescent="0.25">
      <c r="A769" s="1">
        <v>45848</v>
      </c>
      <c r="B769" t="s">
        <v>60</v>
      </c>
      <c r="C769" t="s">
        <v>196</v>
      </c>
      <c r="D769" t="s">
        <v>19</v>
      </c>
      <c r="E769">
        <v>5</v>
      </c>
      <c r="F769">
        <v>4.6100000000000003</v>
      </c>
      <c r="G769">
        <v>4.6100000000000003</v>
      </c>
      <c r="H769">
        <v>2400</v>
      </c>
      <c r="I769">
        <v>11064</v>
      </c>
      <c r="J769">
        <v>1659.6</v>
      </c>
      <c r="K769">
        <v>12723.6</v>
      </c>
    </row>
    <row r="770" spans="1:11" x14ac:dyDescent="0.25">
      <c r="A770" s="1">
        <v>45848</v>
      </c>
      <c r="B770" t="s">
        <v>60</v>
      </c>
      <c r="C770" t="s">
        <v>10</v>
      </c>
      <c r="D770" t="s">
        <v>26</v>
      </c>
      <c r="E770">
        <v>4</v>
      </c>
      <c r="F770">
        <v>3.16</v>
      </c>
      <c r="G770">
        <v>3.16</v>
      </c>
      <c r="H770">
        <v>2400</v>
      </c>
      <c r="I770">
        <v>7584</v>
      </c>
      <c r="J770">
        <v>1137.5999999999999</v>
      </c>
      <c r="K770">
        <v>8721.6</v>
      </c>
    </row>
    <row r="771" spans="1:11" x14ac:dyDescent="0.25">
      <c r="A771" s="1">
        <v>45848</v>
      </c>
      <c r="B771" t="s">
        <v>199</v>
      </c>
      <c r="C771" t="s">
        <v>132</v>
      </c>
      <c r="D771" t="s">
        <v>11</v>
      </c>
      <c r="E771">
        <v>1</v>
      </c>
      <c r="F771">
        <v>1</v>
      </c>
      <c r="G771">
        <v>1</v>
      </c>
      <c r="H771" s="2">
        <v>3000</v>
      </c>
      <c r="I771">
        <v>3000</v>
      </c>
      <c r="J771">
        <v>450</v>
      </c>
      <c r="K771">
        <v>3450</v>
      </c>
    </row>
    <row r="772" spans="1:11" x14ac:dyDescent="0.25">
      <c r="A772" s="1">
        <v>45849</v>
      </c>
      <c r="B772" t="s">
        <v>131</v>
      </c>
      <c r="C772" t="s">
        <v>169</v>
      </c>
      <c r="D772" t="s">
        <v>26</v>
      </c>
      <c r="E772">
        <v>5</v>
      </c>
      <c r="F772">
        <v>5</v>
      </c>
      <c r="G772">
        <v>5</v>
      </c>
      <c r="H772">
        <v>3000</v>
      </c>
      <c r="I772">
        <v>15000</v>
      </c>
      <c r="J772">
        <v>2250</v>
      </c>
      <c r="K772">
        <v>17250</v>
      </c>
    </row>
    <row r="773" spans="1:11" x14ac:dyDescent="0.25">
      <c r="A773" s="1">
        <v>45849</v>
      </c>
      <c r="B773" t="s">
        <v>199</v>
      </c>
      <c r="C773" t="s">
        <v>177</v>
      </c>
      <c r="D773" t="s">
        <v>11</v>
      </c>
      <c r="E773">
        <v>1</v>
      </c>
      <c r="F773">
        <v>1</v>
      </c>
      <c r="G773">
        <v>1</v>
      </c>
      <c r="H773" s="2">
        <v>3000</v>
      </c>
      <c r="I773">
        <v>3000</v>
      </c>
      <c r="J773">
        <v>450</v>
      </c>
      <c r="K773">
        <v>3450</v>
      </c>
    </row>
    <row r="774" spans="1:11" x14ac:dyDescent="0.25">
      <c r="A774" s="1">
        <v>45849</v>
      </c>
      <c r="B774" t="s">
        <v>199</v>
      </c>
      <c r="C774" t="s">
        <v>155</v>
      </c>
      <c r="D774" t="s">
        <v>11</v>
      </c>
      <c r="E774">
        <v>1</v>
      </c>
      <c r="F774">
        <v>1</v>
      </c>
      <c r="G774">
        <v>1</v>
      </c>
      <c r="H774" s="2">
        <v>3000</v>
      </c>
      <c r="I774">
        <v>3000</v>
      </c>
      <c r="J774">
        <v>450</v>
      </c>
      <c r="K774">
        <v>3450</v>
      </c>
    </row>
    <row r="775" spans="1:11" x14ac:dyDescent="0.25">
      <c r="A775" s="1">
        <v>45849</v>
      </c>
      <c r="B775" t="s">
        <v>168</v>
      </c>
      <c r="C775" t="s">
        <v>104</v>
      </c>
      <c r="D775" t="s">
        <v>26</v>
      </c>
      <c r="E775">
        <v>6</v>
      </c>
      <c r="F775">
        <v>10</v>
      </c>
      <c r="G775">
        <v>21.01</v>
      </c>
      <c r="H775">
        <v>3500</v>
      </c>
      <c r="I775">
        <v>73535</v>
      </c>
      <c r="J775">
        <v>11030.25</v>
      </c>
      <c r="K775">
        <v>84565.25</v>
      </c>
    </row>
    <row r="776" spans="1:11" x14ac:dyDescent="0.25">
      <c r="A776" s="1">
        <v>45849</v>
      </c>
      <c r="B776" t="s">
        <v>204</v>
      </c>
      <c r="C776" t="s">
        <v>207</v>
      </c>
      <c r="D776" t="s">
        <v>57</v>
      </c>
      <c r="E776">
        <v>20</v>
      </c>
      <c r="F776">
        <v>10522</v>
      </c>
      <c r="G776">
        <v>10522</v>
      </c>
      <c r="H776">
        <v>100</v>
      </c>
      <c r="I776">
        <v>1052200</v>
      </c>
      <c r="J776">
        <v>157830</v>
      </c>
      <c r="K776">
        <v>1210030</v>
      </c>
    </row>
    <row r="777" spans="1:11" x14ac:dyDescent="0.25">
      <c r="A777" s="1">
        <v>45850</v>
      </c>
      <c r="B777" t="s">
        <v>42</v>
      </c>
      <c r="C777" t="s">
        <v>52</v>
      </c>
      <c r="D777" t="s">
        <v>17</v>
      </c>
      <c r="E777">
        <v>8</v>
      </c>
      <c r="F777">
        <v>781</v>
      </c>
      <c r="G777">
        <v>781</v>
      </c>
      <c r="H777">
        <v>70</v>
      </c>
      <c r="I777">
        <v>54670</v>
      </c>
      <c r="J777">
        <v>8200.5</v>
      </c>
      <c r="K777">
        <v>62870.5</v>
      </c>
    </row>
    <row r="778" spans="1:11" x14ac:dyDescent="0.25">
      <c r="A778" s="1">
        <v>45850</v>
      </c>
      <c r="B778" t="s">
        <v>42</v>
      </c>
      <c r="C778" t="s">
        <v>52</v>
      </c>
      <c r="D778" t="s">
        <v>32</v>
      </c>
      <c r="E778">
        <v>5</v>
      </c>
      <c r="F778">
        <v>325</v>
      </c>
      <c r="G778">
        <v>325</v>
      </c>
      <c r="H778">
        <v>70</v>
      </c>
      <c r="I778">
        <v>22750</v>
      </c>
      <c r="J778">
        <v>3412.5</v>
      </c>
      <c r="K778">
        <v>26162.5</v>
      </c>
    </row>
    <row r="779" spans="1:11" x14ac:dyDescent="0.25">
      <c r="A779" s="1">
        <v>45850</v>
      </c>
      <c r="B779" t="s">
        <v>42</v>
      </c>
      <c r="C779" t="s">
        <v>53</v>
      </c>
      <c r="D779" t="s">
        <v>17</v>
      </c>
      <c r="E779">
        <v>8</v>
      </c>
      <c r="F779">
        <v>495</v>
      </c>
      <c r="G779">
        <v>495</v>
      </c>
      <c r="H779">
        <v>70</v>
      </c>
      <c r="I779">
        <v>34650</v>
      </c>
      <c r="J779">
        <v>5197.5</v>
      </c>
      <c r="K779">
        <v>39847.5</v>
      </c>
    </row>
    <row r="780" spans="1:11" x14ac:dyDescent="0.25">
      <c r="A780" s="1">
        <v>45850</v>
      </c>
      <c r="B780" t="s">
        <v>42</v>
      </c>
      <c r="C780" t="s">
        <v>53</v>
      </c>
      <c r="D780" t="s">
        <v>32</v>
      </c>
      <c r="E780">
        <v>3</v>
      </c>
      <c r="F780">
        <v>580</v>
      </c>
      <c r="G780">
        <v>580</v>
      </c>
      <c r="H780">
        <v>70</v>
      </c>
      <c r="I780">
        <v>40600</v>
      </c>
      <c r="J780">
        <v>6090</v>
      </c>
      <c r="K780">
        <v>46690</v>
      </c>
    </row>
    <row r="781" spans="1:11" x14ac:dyDescent="0.25">
      <c r="A781" s="1">
        <v>45845</v>
      </c>
      <c r="B781" t="s">
        <v>42</v>
      </c>
      <c r="C781" t="s">
        <v>51</v>
      </c>
      <c r="D781" t="s">
        <v>26</v>
      </c>
      <c r="E781">
        <v>7</v>
      </c>
      <c r="F781">
        <v>459</v>
      </c>
      <c r="G781">
        <v>459</v>
      </c>
      <c r="H781">
        <v>70</v>
      </c>
      <c r="I781">
        <v>32130</v>
      </c>
      <c r="J781">
        <v>4819.5</v>
      </c>
      <c r="K781">
        <v>36949.5</v>
      </c>
    </row>
    <row r="782" spans="1:11" x14ac:dyDescent="0.25">
      <c r="A782" s="1">
        <v>45850</v>
      </c>
      <c r="B782" t="s">
        <v>42</v>
      </c>
      <c r="C782" t="s">
        <v>53</v>
      </c>
      <c r="D782" t="s">
        <v>27</v>
      </c>
      <c r="E782">
        <v>21</v>
      </c>
      <c r="F782">
        <v>55</v>
      </c>
      <c r="G782">
        <v>55</v>
      </c>
      <c r="H782">
        <v>70</v>
      </c>
      <c r="I782">
        <v>3850</v>
      </c>
      <c r="J782">
        <v>577.5</v>
      </c>
      <c r="K782">
        <v>4427.5</v>
      </c>
    </row>
    <row r="783" spans="1:11" x14ac:dyDescent="0.25">
      <c r="A783" s="1">
        <v>45850</v>
      </c>
      <c r="B783" t="s">
        <v>42</v>
      </c>
      <c r="C783" t="s">
        <v>35</v>
      </c>
      <c r="D783" t="s">
        <v>17</v>
      </c>
      <c r="E783">
        <v>21</v>
      </c>
      <c r="F783">
        <v>475</v>
      </c>
      <c r="G783">
        <v>475</v>
      </c>
      <c r="H783">
        <v>70</v>
      </c>
      <c r="I783">
        <v>33250</v>
      </c>
      <c r="J783">
        <v>4987.5</v>
      </c>
      <c r="K783">
        <v>38237.5</v>
      </c>
    </row>
    <row r="784" spans="1:11" x14ac:dyDescent="0.25">
      <c r="A784" s="1">
        <v>45845</v>
      </c>
      <c r="B784" t="s">
        <v>42</v>
      </c>
      <c r="C784" t="s">
        <v>13</v>
      </c>
      <c r="D784" t="s">
        <v>26</v>
      </c>
      <c r="E784">
        <v>5</v>
      </c>
      <c r="F784">
        <v>1045</v>
      </c>
      <c r="G784">
        <v>1045</v>
      </c>
      <c r="H784">
        <v>70</v>
      </c>
      <c r="I784">
        <v>73150</v>
      </c>
      <c r="J784">
        <v>10972.5</v>
      </c>
      <c r="K784">
        <v>84122.5</v>
      </c>
    </row>
    <row r="785" spans="1:11" x14ac:dyDescent="0.25">
      <c r="A785" s="1">
        <v>45849</v>
      </c>
      <c r="B785" t="s">
        <v>30</v>
      </c>
      <c r="C785" t="s">
        <v>21</v>
      </c>
      <c r="D785" t="s">
        <v>32</v>
      </c>
      <c r="E785">
        <v>12</v>
      </c>
      <c r="F785">
        <v>17</v>
      </c>
      <c r="G785">
        <v>3116</v>
      </c>
      <c r="H785">
        <v>70</v>
      </c>
      <c r="I785">
        <v>218120</v>
      </c>
      <c r="J785">
        <v>32718</v>
      </c>
      <c r="K785">
        <v>250838</v>
      </c>
    </row>
    <row r="786" spans="1:11" x14ac:dyDescent="0.25">
      <c r="A786" s="1">
        <v>45849</v>
      </c>
      <c r="B786" t="s">
        <v>36</v>
      </c>
      <c r="C786" t="s">
        <v>208</v>
      </c>
      <c r="D786" t="s">
        <v>19</v>
      </c>
      <c r="E786">
        <v>7</v>
      </c>
      <c r="F786">
        <v>6</v>
      </c>
      <c r="G786">
        <v>15</v>
      </c>
      <c r="H786">
        <v>2400</v>
      </c>
      <c r="I786">
        <v>36000</v>
      </c>
      <c r="J786">
        <v>5400</v>
      </c>
      <c r="K786">
        <v>41400</v>
      </c>
    </row>
    <row r="787" spans="1:11" x14ac:dyDescent="0.25">
      <c r="A787" s="1">
        <v>45848</v>
      </c>
      <c r="B787" t="s">
        <v>20</v>
      </c>
      <c r="C787" t="s">
        <v>54</v>
      </c>
      <c r="D787" t="s">
        <v>32</v>
      </c>
      <c r="E787">
        <v>5</v>
      </c>
      <c r="F787">
        <v>825</v>
      </c>
      <c r="G787">
        <v>825</v>
      </c>
      <c r="H787">
        <v>90</v>
      </c>
      <c r="I787">
        <v>74250</v>
      </c>
      <c r="J787">
        <v>11137.5</v>
      </c>
      <c r="K787">
        <v>85387.5</v>
      </c>
    </row>
    <row r="788" spans="1:11" x14ac:dyDescent="0.25">
      <c r="A788" s="1">
        <v>45848</v>
      </c>
      <c r="B788" t="s">
        <v>20</v>
      </c>
      <c r="C788" t="s">
        <v>55</v>
      </c>
      <c r="D788" t="s">
        <v>24</v>
      </c>
      <c r="E788">
        <v>10</v>
      </c>
      <c r="F788">
        <v>1000</v>
      </c>
      <c r="G788">
        <v>1000</v>
      </c>
      <c r="H788">
        <v>90</v>
      </c>
      <c r="I788">
        <v>90000</v>
      </c>
      <c r="J788">
        <v>13500</v>
      </c>
      <c r="K788">
        <v>103500</v>
      </c>
    </row>
    <row r="789" spans="1:11" x14ac:dyDescent="0.25">
      <c r="A789" s="1">
        <v>45848</v>
      </c>
      <c r="B789" t="s">
        <v>20</v>
      </c>
      <c r="C789" t="s">
        <v>54</v>
      </c>
      <c r="D789" t="s">
        <v>24</v>
      </c>
      <c r="E789">
        <v>5</v>
      </c>
      <c r="F789">
        <v>1059</v>
      </c>
      <c r="G789">
        <v>1059</v>
      </c>
      <c r="H789">
        <v>90</v>
      </c>
      <c r="I789">
        <v>95310</v>
      </c>
      <c r="J789">
        <v>14296.5</v>
      </c>
      <c r="K789">
        <v>109606.5</v>
      </c>
    </row>
    <row r="790" spans="1:11" x14ac:dyDescent="0.25">
      <c r="A790" s="1">
        <v>45838</v>
      </c>
      <c r="B790" t="s">
        <v>20</v>
      </c>
      <c r="C790" t="s">
        <v>126</v>
      </c>
      <c r="D790" t="s">
        <v>19</v>
      </c>
      <c r="E790">
        <v>1</v>
      </c>
      <c r="F790">
        <v>0</v>
      </c>
      <c r="G790">
        <v>500</v>
      </c>
      <c r="H790">
        <v>90</v>
      </c>
      <c r="I790">
        <v>45000</v>
      </c>
      <c r="J790">
        <v>6750</v>
      </c>
      <c r="K790">
        <v>51750</v>
      </c>
    </row>
    <row r="791" spans="1:11" x14ac:dyDescent="0.25">
      <c r="A791" s="1">
        <v>45848</v>
      </c>
      <c r="B791" t="s">
        <v>20</v>
      </c>
      <c r="C791" t="s">
        <v>47</v>
      </c>
      <c r="D791" t="s">
        <v>19</v>
      </c>
      <c r="E791">
        <v>1</v>
      </c>
      <c r="F791">
        <v>1</v>
      </c>
      <c r="G791">
        <v>436</v>
      </c>
      <c r="H791">
        <v>90</v>
      </c>
      <c r="I791">
        <v>39240</v>
      </c>
      <c r="J791">
        <v>5886</v>
      </c>
      <c r="K791">
        <v>45126</v>
      </c>
    </row>
    <row r="792" spans="1:11" x14ac:dyDescent="0.25">
      <c r="A792" s="1">
        <v>45848</v>
      </c>
      <c r="B792" t="s">
        <v>20</v>
      </c>
      <c r="C792" t="s">
        <v>54</v>
      </c>
      <c r="D792" t="s">
        <v>22</v>
      </c>
      <c r="E792">
        <v>2</v>
      </c>
      <c r="F792">
        <v>250</v>
      </c>
      <c r="G792">
        <v>250</v>
      </c>
      <c r="H792">
        <v>90</v>
      </c>
      <c r="I792">
        <v>22500</v>
      </c>
      <c r="J792">
        <v>3375</v>
      </c>
      <c r="K792">
        <v>25875</v>
      </c>
    </row>
    <row r="793" spans="1:11" x14ac:dyDescent="0.25">
      <c r="A793" s="1">
        <v>45848</v>
      </c>
      <c r="B793" t="s">
        <v>20</v>
      </c>
      <c r="C793" t="s">
        <v>54</v>
      </c>
      <c r="D793" t="s">
        <v>17</v>
      </c>
      <c r="E793">
        <v>6</v>
      </c>
      <c r="F793">
        <v>92</v>
      </c>
      <c r="G793">
        <v>92</v>
      </c>
      <c r="H793">
        <v>90</v>
      </c>
      <c r="I793">
        <v>8280</v>
      </c>
      <c r="J793">
        <v>1242</v>
      </c>
      <c r="K793">
        <v>9522</v>
      </c>
    </row>
    <row r="794" spans="1:11" x14ac:dyDescent="0.25">
      <c r="A794" s="1">
        <v>45849</v>
      </c>
      <c r="B794" t="s">
        <v>20</v>
      </c>
      <c r="C794" t="s">
        <v>49</v>
      </c>
      <c r="D794" t="s">
        <v>32</v>
      </c>
      <c r="E794">
        <v>9</v>
      </c>
      <c r="F794">
        <v>788</v>
      </c>
      <c r="G794">
        <v>788</v>
      </c>
      <c r="H794">
        <v>90</v>
      </c>
      <c r="I794">
        <v>70920</v>
      </c>
      <c r="J794">
        <v>10638</v>
      </c>
      <c r="K794">
        <v>81558</v>
      </c>
    </row>
    <row r="795" spans="1:11" x14ac:dyDescent="0.25">
      <c r="A795" s="1">
        <v>45849</v>
      </c>
      <c r="B795" t="s">
        <v>36</v>
      </c>
      <c r="C795" t="s">
        <v>43</v>
      </c>
      <c r="D795" t="s">
        <v>17</v>
      </c>
      <c r="E795">
        <v>7</v>
      </c>
      <c r="F795">
        <v>8</v>
      </c>
      <c r="G795">
        <v>10</v>
      </c>
      <c r="H795">
        <v>2400</v>
      </c>
      <c r="I795">
        <v>24000</v>
      </c>
      <c r="J795">
        <v>3600</v>
      </c>
      <c r="K795">
        <v>27600</v>
      </c>
    </row>
    <row r="796" spans="1:11" x14ac:dyDescent="0.25">
      <c r="A796" s="1">
        <v>45849</v>
      </c>
      <c r="B796" t="s">
        <v>20</v>
      </c>
      <c r="C796" t="s">
        <v>49</v>
      </c>
      <c r="D796" t="s">
        <v>26</v>
      </c>
      <c r="E796">
        <v>12</v>
      </c>
      <c r="F796">
        <v>200</v>
      </c>
      <c r="G796">
        <v>200</v>
      </c>
      <c r="H796">
        <v>90</v>
      </c>
      <c r="I796">
        <v>18000</v>
      </c>
      <c r="J796">
        <v>2700</v>
      </c>
      <c r="K796">
        <v>20700</v>
      </c>
    </row>
    <row r="797" spans="1:11" x14ac:dyDescent="0.25">
      <c r="A797" s="1">
        <v>45849</v>
      </c>
      <c r="B797" t="s">
        <v>20</v>
      </c>
      <c r="C797" t="s">
        <v>53</v>
      </c>
      <c r="D797" t="s">
        <v>26</v>
      </c>
      <c r="E797">
        <v>11</v>
      </c>
      <c r="F797">
        <v>85</v>
      </c>
      <c r="G797">
        <v>85</v>
      </c>
      <c r="H797">
        <v>90</v>
      </c>
      <c r="I797">
        <v>7650</v>
      </c>
      <c r="J797">
        <v>1147.5</v>
      </c>
      <c r="K797">
        <v>8797.5</v>
      </c>
    </row>
    <row r="798" spans="1:11" x14ac:dyDescent="0.25">
      <c r="A798" s="1">
        <v>45854</v>
      </c>
      <c r="B798" t="s">
        <v>42</v>
      </c>
      <c r="C798" t="s">
        <v>100</v>
      </c>
      <c r="D798" t="s">
        <v>26</v>
      </c>
      <c r="E798">
        <v>5</v>
      </c>
      <c r="F798">
        <v>134</v>
      </c>
      <c r="G798">
        <v>134</v>
      </c>
      <c r="H798">
        <v>70</v>
      </c>
      <c r="I798">
        <v>9380</v>
      </c>
      <c r="J798">
        <v>1407</v>
      </c>
      <c r="K798">
        <v>10787</v>
      </c>
    </row>
    <row r="799" spans="1:11" x14ac:dyDescent="0.25">
      <c r="A799" s="1">
        <v>45849</v>
      </c>
      <c r="B799" t="s">
        <v>36</v>
      </c>
      <c r="C799" t="s">
        <v>209</v>
      </c>
      <c r="D799" t="s">
        <v>24</v>
      </c>
      <c r="E799">
        <v>10</v>
      </c>
      <c r="F799">
        <v>5</v>
      </c>
      <c r="G799">
        <v>22.47</v>
      </c>
      <c r="H799">
        <v>2400</v>
      </c>
      <c r="I799">
        <v>53928</v>
      </c>
      <c r="J799">
        <v>8089.2</v>
      </c>
      <c r="K799">
        <v>62017.2</v>
      </c>
    </row>
    <row r="800" spans="1:11" x14ac:dyDescent="0.25">
      <c r="A800" s="1">
        <v>45852</v>
      </c>
      <c r="B800" t="s">
        <v>42</v>
      </c>
      <c r="C800" t="s">
        <v>52</v>
      </c>
      <c r="D800" t="s">
        <v>27</v>
      </c>
      <c r="E800">
        <v>2</v>
      </c>
      <c r="F800">
        <v>145</v>
      </c>
      <c r="G800">
        <v>145</v>
      </c>
      <c r="H800">
        <v>70</v>
      </c>
      <c r="I800">
        <v>10150</v>
      </c>
      <c r="J800">
        <v>1522.5</v>
      </c>
      <c r="K800">
        <v>11672.5</v>
      </c>
    </row>
    <row r="801" spans="1:11" x14ac:dyDescent="0.25">
      <c r="A801" s="1">
        <v>45840</v>
      </c>
      <c r="B801" t="s">
        <v>122</v>
      </c>
      <c r="C801" t="s">
        <v>99</v>
      </c>
      <c r="D801" t="s">
        <v>17</v>
      </c>
      <c r="E801">
        <v>4</v>
      </c>
      <c r="F801">
        <v>209</v>
      </c>
      <c r="G801">
        <v>209</v>
      </c>
      <c r="H801">
        <v>90</v>
      </c>
      <c r="I801">
        <v>18810</v>
      </c>
      <c r="J801">
        <v>2821.5</v>
      </c>
      <c r="K801">
        <v>21631.5</v>
      </c>
    </row>
    <row r="802" spans="1:11" x14ac:dyDescent="0.25">
      <c r="A802" s="1">
        <v>45840</v>
      </c>
      <c r="B802" t="s">
        <v>122</v>
      </c>
      <c r="C802" t="s">
        <v>46</v>
      </c>
      <c r="D802" t="s">
        <v>17</v>
      </c>
      <c r="E802">
        <v>1</v>
      </c>
      <c r="F802">
        <v>159</v>
      </c>
      <c r="G802">
        <v>159</v>
      </c>
      <c r="H802">
        <v>90</v>
      </c>
      <c r="I802">
        <v>14310</v>
      </c>
      <c r="J802">
        <v>2146.5</v>
      </c>
      <c r="K802">
        <v>16456.5</v>
      </c>
    </row>
    <row r="803" spans="1:11" x14ac:dyDescent="0.25">
      <c r="A803" s="1">
        <v>45840</v>
      </c>
      <c r="B803" t="s">
        <v>122</v>
      </c>
      <c r="C803" t="s">
        <v>28</v>
      </c>
      <c r="D803" t="s">
        <v>17</v>
      </c>
      <c r="E803">
        <v>4</v>
      </c>
      <c r="F803">
        <v>35</v>
      </c>
      <c r="G803">
        <v>35</v>
      </c>
      <c r="H803">
        <v>90</v>
      </c>
      <c r="I803">
        <v>3150</v>
      </c>
      <c r="J803">
        <v>472.5</v>
      </c>
      <c r="K803">
        <v>3622.5</v>
      </c>
    </row>
    <row r="804" spans="1:11" x14ac:dyDescent="0.25">
      <c r="A804" s="1">
        <v>45840</v>
      </c>
      <c r="B804" t="s">
        <v>122</v>
      </c>
      <c r="C804" t="s">
        <v>13</v>
      </c>
      <c r="D804" t="s">
        <v>17</v>
      </c>
      <c r="E804">
        <v>3</v>
      </c>
      <c r="F804">
        <v>36</v>
      </c>
      <c r="G804">
        <v>36</v>
      </c>
      <c r="H804">
        <v>90</v>
      </c>
      <c r="I804">
        <v>3240</v>
      </c>
      <c r="J804">
        <v>486</v>
      </c>
      <c r="K804">
        <v>3726</v>
      </c>
    </row>
    <row r="805" spans="1:11" x14ac:dyDescent="0.25">
      <c r="A805" s="1">
        <v>45840</v>
      </c>
      <c r="B805" t="s">
        <v>122</v>
      </c>
      <c r="C805" t="s">
        <v>51</v>
      </c>
      <c r="D805" t="s">
        <v>17</v>
      </c>
      <c r="E805">
        <v>6</v>
      </c>
      <c r="F805">
        <v>125</v>
      </c>
      <c r="G805">
        <v>125</v>
      </c>
      <c r="H805">
        <v>90</v>
      </c>
      <c r="I805">
        <v>11250</v>
      </c>
      <c r="J805">
        <v>1687.5</v>
      </c>
      <c r="K805">
        <v>12937.5</v>
      </c>
    </row>
    <row r="806" spans="1:11" x14ac:dyDescent="0.25">
      <c r="A806" s="1">
        <v>45840</v>
      </c>
      <c r="B806" t="s">
        <v>122</v>
      </c>
      <c r="C806" t="s">
        <v>160</v>
      </c>
      <c r="D806" t="s">
        <v>17</v>
      </c>
      <c r="E806">
        <v>3</v>
      </c>
      <c r="F806">
        <v>64</v>
      </c>
      <c r="G806">
        <v>64</v>
      </c>
      <c r="H806">
        <v>90</v>
      </c>
      <c r="I806">
        <v>5760</v>
      </c>
      <c r="J806">
        <v>864</v>
      </c>
      <c r="K806">
        <v>6624</v>
      </c>
    </row>
    <row r="807" spans="1:11" x14ac:dyDescent="0.25">
      <c r="A807" s="1">
        <v>45840</v>
      </c>
      <c r="B807" t="s">
        <v>122</v>
      </c>
      <c r="C807" t="s">
        <v>52</v>
      </c>
      <c r="D807" t="s">
        <v>17</v>
      </c>
      <c r="E807">
        <v>7</v>
      </c>
      <c r="F807">
        <v>159</v>
      </c>
      <c r="G807">
        <v>159</v>
      </c>
      <c r="H807">
        <v>90</v>
      </c>
      <c r="I807">
        <v>14310</v>
      </c>
      <c r="J807">
        <v>2146.5</v>
      </c>
      <c r="K807">
        <v>16456.5</v>
      </c>
    </row>
    <row r="808" spans="1:11" x14ac:dyDescent="0.25">
      <c r="A808" s="1">
        <v>45840</v>
      </c>
      <c r="B808" t="s">
        <v>122</v>
      </c>
      <c r="C808" t="s">
        <v>109</v>
      </c>
      <c r="D808" t="s">
        <v>17</v>
      </c>
      <c r="E808">
        <v>4</v>
      </c>
      <c r="F808">
        <v>8</v>
      </c>
      <c r="G808">
        <v>8</v>
      </c>
      <c r="H808">
        <v>90</v>
      </c>
      <c r="I808">
        <v>720</v>
      </c>
      <c r="J808">
        <v>108</v>
      </c>
      <c r="K808">
        <v>828</v>
      </c>
    </row>
    <row r="809" spans="1:11" x14ac:dyDescent="0.25">
      <c r="A809" s="1">
        <v>45849</v>
      </c>
      <c r="B809" t="s">
        <v>210</v>
      </c>
      <c r="C809" t="s">
        <v>90</v>
      </c>
      <c r="D809" t="s">
        <v>17</v>
      </c>
      <c r="E809">
        <v>1</v>
      </c>
      <c r="F809">
        <v>0</v>
      </c>
      <c r="G809">
        <v>1</v>
      </c>
      <c r="H809">
        <v>2500</v>
      </c>
      <c r="I809">
        <v>2500</v>
      </c>
      <c r="J809">
        <v>375</v>
      </c>
      <c r="K809">
        <v>2875</v>
      </c>
    </row>
    <row r="810" spans="1:11" x14ac:dyDescent="0.25">
      <c r="A810" s="1">
        <v>45849</v>
      </c>
      <c r="B810" t="s">
        <v>211</v>
      </c>
      <c r="C810" t="s">
        <v>45</v>
      </c>
      <c r="D810" t="s">
        <v>17</v>
      </c>
      <c r="E810">
        <v>1</v>
      </c>
      <c r="F810">
        <v>0</v>
      </c>
      <c r="G810">
        <v>3</v>
      </c>
      <c r="H810">
        <v>3000</v>
      </c>
      <c r="I810">
        <v>9000</v>
      </c>
      <c r="J810">
        <v>1350</v>
      </c>
      <c r="K810">
        <v>10350</v>
      </c>
    </row>
    <row r="811" spans="1:11" x14ac:dyDescent="0.25">
      <c r="A811" s="1">
        <v>45849</v>
      </c>
      <c r="B811" t="s">
        <v>211</v>
      </c>
      <c r="C811" t="s">
        <v>21</v>
      </c>
      <c r="D811" t="s">
        <v>17</v>
      </c>
      <c r="E811">
        <v>1</v>
      </c>
      <c r="F811">
        <v>0</v>
      </c>
      <c r="G811">
        <v>1</v>
      </c>
      <c r="H811">
        <v>3000</v>
      </c>
      <c r="I811">
        <v>3000</v>
      </c>
      <c r="J811">
        <v>450</v>
      </c>
      <c r="K811">
        <v>3450</v>
      </c>
    </row>
    <row r="812" spans="1:11" x14ac:dyDescent="0.25">
      <c r="A812" s="1">
        <v>45849</v>
      </c>
      <c r="B812" t="s">
        <v>210</v>
      </c>
      <c r="C812" t="s">
        <v>87</v>
      </c>
      <c r="D812" t="s">
        <v>17</v>
      </c>
      <c r="E812">
        <v>1</v>
      </c>
      <c r="F812">
        <v>0</v>
      </c>
      <c r="G812">
        <v>1</v>
      </c>
      <c r="H812">
        <v>2500</v>
      </c>
      <c r="I812">
        <v>2500</v>
      </c>
      <c r="J812">
        <v>375</v>
      </c>
      <c r="K812">
        <v>2875</v>
      </c>
    </row>
    <row r="813" spans="1:11" x14ac:dyDescent="0.25">
      <c r="A813" s="1">
        <v>45849</v>
      </c>
      <c r="B813" t="s">
        <v>20</v>
      </c>
      <c r="C813" t="s">
        <v>143</v>
      </c>
      <c r="D813" t="s">
        <v>14</v>
      </c>
      <c r="E813">
        <v>4</v>
      </c>
      <c r="F813">
        <v>12</v>
      </c>
      <c r="G813">
        <v>500</v>
      </c>
      <c r="H813">
        <v>90</v>
      </c>
      <c r="I813">
        <v>45000</v>
      </c>
      <c r="J813">
        <v>6750</v>
      </c>
      <c r="K813">
        <v>51750</v>
      </c>
    </row>
    <row r="814" spans="1:11" x14ac:dyDescent="0.25">
      <c r="A814" s="1">
        <v>45849</v>
      </c>
      <c r="B814" t="s">
        <v>20</v>
      </c>
      <c r="C814" t="s">
        <v>13</v>
      </c>
      <c r="D814" t="s">
        <v>22</v>
      </c>
      <c r="E814">
        <v>1</v>
      </c>
      <c r="F814">
        <v>100</v>
      </c>
      <c r="G814">
        <v>100</v>
      </c>
      <c r="H814">
        <v>90</v>
      </c>
      <c r="I814">
        <v>9000</v>
      </c>
      <c r="J814">
        <v>1350</v>
      </c>
      <c r="K814">
        <v>10350</v>
      </c>
    </row>
    <row r="815" spans="1:11" x14ac:dyDescent="0.25">
      <c r="A815" s="1">
        <v>45849</v>
      </c>
      <c r="B815" t="s">
        <v>20</v>
      </c>
      <c r="C815" t="s">
        <v>48</v>
      </c>
      <c r="D815" t="s">
        <v>22</v>
      </c>
      <c r="E815">
        <v>1</v>
      </c>
      <c r="F815">
        <v>100</v>
      </c>
      <c r="G815">
        <v>100</v>
      </c>
      <c r="H815">
        <v>90</v>
      </c>
      <c r="I815">
        <v>9000</v>
      </c>
      <c r="J815">
        <v>1350</v>
      </c>
      <c r="K815">
        <v>10350</v>
      </c>
    </row>
    <row r="816" spans="1:11" x14ac:dyDescent="0.25">
      <c r="A816" s="1">
        <v>45849</v>
      </c>
      <c r="B816" t="s">
        <v>20</v>
      </c>
      <c r="C816" t="s">
        <v>48</v>
      </c>
      <c r="D816" t="s">
        <v>27</v>
      </c>
      <c r="E816">
        <v>4</v>
      </c>
      <c r="F816">
        <v>71</v>
      </c>
      <c r="G816">
        <v>71</v>
      </c>
      <c r="H816">
        <v>90</v>
      </c>
      <c r="I816">
        <v>6390</v>
      </c>
      <c r="J816">
        <v>958.5</v>
      </c>
      <c r="K816">
        <v>7348.5</v>
      </c>
    </row>
    <row r="817" spans="1:11" x14ac:dyDescent="0.25">
      <c r="A817" s="1">
        <v>45849</v>
      </c>
      <c r="B817" t="s">
        <v>20</v>
      </c>
      <c r="C817" t="s">
        <v>29</v>
      </c>
      <c r="D817" t="s">
        <v>14</v>
      </c>
      <c r="E817">
        <v>7</v>
      </c>
      <c r="F817">
        <v>500</v>
      </c>
      <c r="G817">
        <v>500</v>
      </c>
      <c r="H817">
        <v>90</v>
      </c>
      <c r="I817">
        <v>45000</v>
      </c>
      <c r="J817">
        <v>6750</v>
      </c>
      <c r="K817">
        <v>51750</v>
      </c>
    </row>
    <row r="818" spans="1:11" x14ac:dyDescent="0.25">
      <c r="A818" s="1">
        <v>45849</v>
      </c>
      <c r="B818" t="s">
        <v>20</v>
      </c>
      <c r="C818" t="s">
        <v>53</v>
      </c>
      <c r="D818" t="s">
        <v>17</v>
      </c>
      <c r="E818">
        <v>8</v>
      </c>
      <c r="F818">
        <v>822</v>
      </c>
      <c r="G818">
        <v>822</v>
      </c>
      <c r="H818">
        <v>90</v>
      </c>
      <c r="I818">
        <v>73980</v>
      </c>
      <c r="J818">
        <v>11097</v>
      </c>
      <c r="K818">
        <v>85077</v>
      </c>
    </row>
    <row r="819" spans="1:11" x14ac:dyDescent="0.25">
      <c r="A819" s="1">
        <v>45844</v>
      </c>
      <c r="B819" t="s">
        <v>20</v>
      </c>
      <c r="C819" t="s">
        <v>51</v>
      </c>
      <c r="D819" t="s">
        <v>19</v>
      </c>
      <c r="E819">
        <v>8</v>
      </c>
      <c r="F819">
        <v>8</v>
      </c>
      <c r="G819">
        <v>500</v>
      </c>
      <c r="H819">
        <v>90</v>
      </c>
      <c r="I819">
        <v>45000</v>
      </c>
      <c r="J819">
        <v>6750</v>
      </c>
      <c r="K819">
        <v>51750</v>
      </c>
    </row>
    <row r="820" spans="1:11" x14ac:dyDescent="0.25">
      <c r="A820" s="1">
        <v>45849</v>
      </c>
      <c r="B820" t="s">
        <v>20</v>
      </c>
      <c r="C820" t="s">
        <v>53</v>
      </c>
      <c r="D820" t="s">
        <v>24</v>
      </c>
      <c r="E820">
        <v>7</v>
      </c>
      <c r="F820">
        <v>673</v>
      </c>
      <c r="G820">
        <v>673</v>
      </c>
      <c r="H820">
        <v>90</v>
      </c>
      <c r="I820">
        <v>60570</v>
      </c>
      <c r="J820">
        <v>9085.5</v>
      </c>
      <c r="K820">
        <v>69655.5</v>
      </c>
    </row>
    <row r="821" spans="1:11" x14ac:dyDescent="0.25">
      <c r="A821" s="1">
        <v>45849</v>
      </c>
      <c r="B821" t="s">
        <v>20</v>
      </c>
      <c r="C821" t="s">
        <v>49</v>
      </c>
      <c r="D821" t="s">
        <v>59</v>
      </c>
      <c r="E821">
        <v>4</v>
      </c>
      <c r="F821">
        <v>8</v>
      </c>
      <c r="G821">
        <v>500</v>
      </c>
      <c r="H821">
        <v>90</v>
      </c>
      <c r="I821">
        <v>45000</v>
      </c>
      <c r="J821">
        <v>6750</v>
      </c>
      <c r="K821">
        <v>51750</v>
      </c>
    </row>
    <row r="822" spans="1:11" x14ac:dyDescent="0.25">
      <c r="A822" s="1">
        <v>45849</v>
      </c>
      <c r="B822" t="s">
        <v>36</v>
      </c>
      <c r="C822" t="s">
        <v>173</v>
      </c>
      <c r="D822" t="s">
        <v>32</v>
      </c>
      <c r="E822">
        <v>8</v>
      </c>
      <c r="F822">
        <v>8</v>
      </c>
      <c r="G822">
        <v>10</v>
      </c>
      <c r="H822">
        <v>2400</v>
      </c>
      <c r="I822">
        <v>24000</v>
      </c>
      <c r="J822">
        <v>3600</v>
      </c>
      <c r="K822">
        <v>27600</v>
      </c>
    </row>
    <row r="823" spans="1:11" x14ac:dyDescent="0.25">
      <c r="A823" s="1">
        <v>45852</v>
      </c>
      <c r="B823" t="s">
        <v>42</v>
      </c>
      <c r="C823" t="s">
        <v>48</v>
      </c>
      <c r="D823" t="s">
        <v>17</v>
      </c>
      <c r="E823">
        <v>10</v>
      </c>
      <c r="F823">
        <v>617</v>
      </c>
      <c r="G823">
        <v>617</v>
      </c>
      <c r="H823">
        <v>70</v>
      </c>
      <c r="I823">
        <v>43190</v>
      </c>
      <c r="J823">
        <v>6478.5</v>
      </c>
      <c r="K823">
        <v>49668.5</v>
      </c>
    </row>
    <row r="824" spans="1:11" x14ac:dyDescent="0.25">
      <c r="A824" s="1">
        <v>45849</v>
      </c>
      <c r="B824" t="s">
        <v>20</v>
      </c>
      <c r="C824" t="s">
        <v>160</v>
      </c>
      <c r="D824" t="s">
        <v>24</v>
      </c>
      <c r="E824">
        <v>17</v>
      </c>
      <c r="F824">
        <v>733</v>
      </c>
      <c r="G824">
        <v>733</v>
      </c>
      <c r="H824">
        <v>90</v>
      </c>
      <c r="I824">
        <v>65970</v>
      </c>
      <c r="J824">
        <v>9895.5</v>
      </c>
      <c r="K824">
        <v>75865.5</v>
      </c>
    </row>
    <row r="825" spans="1:11" x14ac:dyDescent="0.25">
      <c r="A825" s="1">
        <v>45833</v>
      </c>
      <c r="B825" t="s">
        <v>120</v>
      </c>
      <c r="C825" t="s">
        <v>104</v>
      </c>
      <c r="D825" t="s">
        <v>27</v>
      </c>
      <c r="E825">
        <v>4</v>
      </c>
      <c r="F825">
        <v>800</v>
      </c>
      <c r="G825">
        <v>800</v>
      </c>
      <c r="H825">
        <v>5</v>
      </c>
      <c r="I825">
        <v>4000</v>
      </c>
      <c r="J825">
        <v>600</v>
      </c>
      <c r="K825">
        <v>4600</v>
      </c>
    </row>
    <row r="826" spans="1:11" x14ac:dyDescent="0.25">
      <c r="A826" s="1">
        <v>45833</v>
      </c>
      <c r="B826" t="s">
        <v>120</v>
      </c>
      <c r="C826" t="s">
        <v>13</v>
      </c>
      <c r="D826" t="s">
        <v>27</v>
      </c>
      <c r="E826">
        <v>4</v>
      </c>
      <c r="F826">
        <v>2000</v>
      </c>
      <c r="G826">
        <v>2000</v>
      </c>
      <c r="H826">
        <v>5</v>
      </c>
      <c r="I826">
        <v>10000</v>
      </c>
      <c r="J826">
        <v>1500</v>
      </c>
      <c r="K826">
        <v>11500</v>
      </c>
    </row>
    <row r="827" spans="1:11" x14ac:dyDescent="0.25">
      <c r="A827" s="1">
        <v>45833</v>
      </c>
      <c r="B827" t="s">
        <v>120</v>
      </c>
      <c r="C827" t="s">
        <v>104</v>
      </c>
      <c r="D827" t="s">
        <v>11</v>
      </c>
      <c r="E827">
        <v>8</v>
      </c>
      <c r="F827">
        <v>2000</v>
      </c>
      <c r="G827">
        <v>2000</v>
      </c>
      <c r="H827">
        <v>5</v>
      </c>
      <c r="I827">
        <v>10000</v>
      </c>
      <c r="J827">
        <v>1500</v>
      </c>
      <c r="K827">
        <v>11500</v>
      </c>
    </row>
    <row r="828" spans="1:11" x14ac:dyDescent="0.25">
      <c r="A828" s="1">
        <v>45849</v>
      </c>
      <c r="B828" t="s">
        <v>120</v>
      </c>
      <c r="C828" t="s">
        <v>52</v>
      </c>
      <c r="D828" t="s">
        <v>26</v>
      </c>
      <c r="E828">
        <v>9</v>
      </c>
      <c r="F828">
        <v>3306</v>
      </c>
      <c r="G828">
        <v>3306</v>
      </c>
      <c r="H828">
        <v>5</v>
      </c>
      <c r="I828">
        <v>16530</v>
      </c>
      <c r="J828">
        <v>2479.5</v>
      </c>
      <c r="K828">
        <v>19009.5</v>
      </c>
    </row>
    <row r="829" spans="1:11" x14ac:dyDescent="0.25">
      <c r="A829" s="1">
        <v>45852</v>
      </c>
      <c r="B829" t="s">
        <v>42</v>
      </c>
      <c r="C829" t="s">
        <v>48</v>
      </c>
      <c r="D829" t="s">
        <v>32</v>
      </c>
      <c r="E829">
        <v>8</v>
      </c>
      <c r="F829">
        <v>311</v>
      </c>
      <c r="G829">
        <v>311</v>
      </c>
      <c r="H829">
        <v>70</v>
      </c>
      <c r="I829">
        <v>21770</v>
      </c>
      <c r="J829">
        <v>3265.5</v>
      </c>
      <c r="K829">
        <v>25035.5</v>
      </c>
    </row>
    <row r="830" spans="1:11" x14ac:dyDescent="0.25">
      <c r="A830" s="1">
        <v>45849</v>
      </c>
      <c r="B830" t="s">
        <v>36</v>
      </c>
      <c r="C830" t="s">
        <v>212</v>
      </c>
      <c r="D830" t="s">
        <v>17</v>
      </c>
      <c r="E830">
        <v>6</v>
      </c>
      <c r="F830">
        <v>4</v>
      </c>
      <c r="G830">
        <v>29.86</v>
      </c>
      <c r="H830">
        <v>2400</v>
      </c>
      <c r="I830">
        <v>71664</v>
      </c>
      <c r="J830">
        <v>10749.6</v>
      </c>
      <c r="K830">
        <v>82413.600000000006</v>
      </c>
    </row>
    <row r="831" spans="1:11" x14ac:dyDescent="0.25">
      <c r="A831" s="1">
        <v>45849</v>
      </c>
      <c r="B831" t="s">
        <v>199</v>
      </c>
      <c r="C831" t="s">
        <v>178</v>
      </c>
      <c r="D831" t="s">
        <v>11</v>
      </c>
      <c r="E831">
        <v>1</v>
      </c>
      <c r="F831">
        <v>1</v>
      </c>
      <c r="G831">
        <v>1</v>
      </c>
      <c r="H831" s="2">
        <v>3000</v>
      </c>
      <c r="I831">
        <v>3000</v>
      </c>
      <c r="J831">
        <v>450</v>
      </c>
      <c r="K831">
        <v>3450</v>
      </c>
    </row>
    <row r="832" spans="1:11" x14ac:dyDescent="0.25">
      <c r="A832" s="1">
        <v>45849</v>
      </c>
      <c r="B832" t="s">
        <v>36</v>
      </c>
      <c r="C832" t="s">
        <v>213</v>
      </c>
      <c r="D832" t="s">
        <v>19</v>
      </c>
      <c r="E832">
        <v>8</v>
      </c>
      <c r="F832">
        <v>4</v>
      </c>
      <c r="G832">
        <v>18.579999999999998</v>
      </c>
      <c r="H832">
        <v>2400</v>
      </c>
      <c r="I832">
        <v>44592</v>
      </c>
      <c r="J832">
        <v>6688.8</v>
      </c>
      <c r="K832">
        <v>51280.800000000003</v>
      </c>
    </row>
    <row r="833" spans="1:11" x14ac:dyDescent="0.25">
      <c r="A833" s="1">
        <v>45849</v>
      </c>
      <c r="B833" t="s">
        <v>120</v>
      </c>
      <c r="C833" t="s">
        <v>114</v>
      </c>
      <c r="D833" t="s">
        <v>11</v>
      </c>
      <c r="E833">
        <v>9</v>
      </c>
      <c r="F833">
        <v>2011</v>
      </c>
      <c r="G833">
        <v>2011</v>
      </c>
      <c r="H833">
        <v>5</v>
      </c>
      <c r="I833">
        <v>10055</v>
      </c>
      <c r="J833">
        <v>1508.25</v>
      </c>
      <c r="K833">
        <v>11563.25</v>
      </c>
    </row>
    <row r="834" spans="1:11" x14ac:dyDescent="0.25">
      <c r="A834" s="1">
        <v>45849</v>
      </c>
      <c r="B834" t="s">
        <v>80</v>
      </c>
      <c r="C834" t="s">
        <v>33</v>
      </c>
      <c r="D834" t="s">
        <v>17</v>
      </c>
      <c r="E834">
        <v>3</v>
      </c>
      <c r="F834">
        <v>6</v>
      </c>
      <c r="G834">
        <v>561</v>
      </c>
      <c r="H834">
        <v>70</v>
      </c>
      <c r="I834">
        <v>39270</v>
      </c>
      <c r="J834">
        <v>5890.5</v>
      </c>
      <c r="K834">
        <v>45160.5</v>
      </c>
    </row>
    <row r="835" spans="1:11" x14ac:dyDescent="0.25">
      <c r="A835" s="1">
        <v>45849</v>
      </c>
      <c r="B835" t="s">
        <v>36</v>
      </c>
      <c r="C835" t="s">
        <v>177</v>
      </c>
      <c r="D835" t="s">
        <v>17</v>
      </c>
      <c r="E835">
        <v>4</v>
      </c>
      <c r="F835">
        <v>4</v>
      </c>
      <c r="G835">
        <v>10</v>
      </c>
      <c r="H835">
        <v>2400</v>
      </c>
      <c r="I835">
        <v>24000</v>
      </c>
      <c r="J835">
        <v>3600</v>
      </c>
      <c r="K835">
        <v>27600</v>
      </c>
    </row>
    <row r="836" spans="1:11" x14ac:dyDescent="0.25">
      <c r="A836" s="1">
        <v>45849</v>
      </c>
      <c r="B836" t="s">
        <v>186</v>
      </c>
      <c r="C836" t="s">
        <v>176</v>
      </c>
      <c r="D836" t="s">
        <v>17</v>
      </c>
      <c r="E836">
        <v>5</v>
      </c>
      <c r="F836">
        <v>5</v>
      </c>
      <c r="G836">
        <v>5</v>
      </c>
      <c r="H836">
        <v>4000</v>
      </c>
      <c r="I836">
        <v>20000</v>
      </c>
      <c r="J836">
        <v>3000</v>
      </c>
      <c r="K836">
        <v>23000</v>
      </c>
    </row>
    <row r="837" spans="1:11" x14ac:dyDescent="0.25">
      <c r="A837" s="1">
        <v>45829</v>
      </c>
      <c r="B837" t="s">
        <v>60</v>
      </c>
      <c r="C837" t="s">
        <v>165</v>
      </c>
      <c r="D837" t="s">
        <v>57</v>
      </c>
      <c r="E837">
        <v>7</v>
      </c>
      <c r="F837">
        <v>7</v>
      </c>
      <c r="G837">
        <v>11.78</v>
      </c>
      <c r="H837">
        <v>2400</v>
      </c>
      <c r="I837">
        <v>28272</v>
      </c>
      <c r="J837">
        <v>4240.8</v>
      </c>
      <c r="K837">
        <v>32512.799999999999</v>
      </c>
    </row>
    <row r="838" spans="1:11" x14ac:dyDescent="0.25">
      <c r="A838" s="1">
        <v>45849</v>
      </c>
      <c r="B838" t="s">
        <v>60</v>
      </c>
      <c r="C838" t="s">
        <v>214</v>
      </c>
      <c r="D838" t="s">
        <v>19</v>
      </c>
      <c r="E838">
        <v>7</v>
      </c>
      <c r="F838">
        <v>23</v>
      </c>
      <c r="G838">
        <v>23</v>
      </c>
      <c r="H838">
        <v>2400</v>
      </c>
      <c r="I838">
        <v>55200</v>
      </c>
      <c r="J838">
        <v>8280</v>
      </c>
      <c r="K838">
        <v>63480</v>
      </c>
    </row>
    <row r="839" spans="1:11" x14ac:dyDescent="0.25">
      <c r="A839" s="1">
        <v>45849</v>
      </c>
      <c r="B839" t="s">
        <v>60</v>
      </c>
      <c r="C839" t="s">
        <v>171</v>
      </c>
      <c r="D839" t="s">
        <v>19</v>
      </c>
      <c r="E839">
        <v>8</v>
      </c>
      <c r="F839">
        <v>12.06</v>
      </c>
      <c r="G839">
        <v>12.06</v>
      </c>
      <c r="H839">
        <v>2400</v>
      </c>
      <c r="I839">
        <v>28944</v>
      </c>
      <c r="J839">
        <v>4341.6000000000004</v>
      </c>
      <c r="K839">
        <v>33285.599999999999</v>
      </c>
    </row>
    <row r="840" spans="1:11" x14ac:dyDescent="0.25">
      <c r="A840" s="1">
        <v>45849</v>
      </c>
      <c r="B840" t="s">
        <v>164</v>
      </c>
      <c r="C840" t="s">
        <v>77</v>
      </c>
      <c r="D840" t="s">
        <v>32</v>
      </c>
      <c r="E840">
        <v>11</v>
      </c>
      <c r="F840">
        <v>1</v>
      </c>
      <c r="G840">
        <v>11</v>
      </c>
      <c r="H840">
        <v>500</v>
      </c>
      <c r="I840">
        <v>5500</v>
      </c>
      <c r="J840">
        <v>825</v>
      </c>
      <c r="K840">
        <v>6325</v>
      </c>
    </row>
    <row r="841" spans="1:11" x14ac:dyDescent="0.25">
      <c r="A841" s="1">
        <v>45849</v>
      </c>
      <c r="B841" t="s">
        <v>199</v>
      </c>
      <c r="C841" t="s">
        <v>132</v>
      </c>
      <c r="D841" t="s">
        <v>11</v>
      </c>
      <c r="E841">
        <v>1</v>
      </c>
      <c r="F841">
        <v>1</v>
      </c>
      <c r="G841">
        <v>1</v>
      </c>
      <c r="H841" s="2">
        <v>3000</v>
      </c>
      <c r="I841">
        <v>3000</v>
      </c>
      <c r="J841">
        <v>450</v>
      </c>
      <c r="K841">
        <v>3450</v>
      </c>
    </row>
    <row r="842" spans="1:11" x14ac:dyDescent="0.25">
      <c r="A842" s="1">
        <v>45831</v>
      </c>
      <c r="B842" t="s">
        <v>60</v>
      </c>
      <c r="C842" t="s">
        <v>148</v>
      </c>
      <c r="D842" t="s">
        <v>26</v>
      </c>
      <c r="E842">
        <v>2</v>
      </c>
      <c r="F842">
        <v>1.9</v>
      </c>
      <c r="G842">
        <v>1.9</v>
      </c>
      <c r="H842">
        <v>2400</v>
      </c>
      <c r="I842">
        <v>4560</v>
      </c>
      <c r="J842">
        <v>684</v>
      </c>
      <c r="K842">
        <v>5244</v>
      </c>
    </row>
    <row r="843" spans="1:11" x14ac:dyDescent="0.25">
      <c r="A843" s="1">
        <v>45849</v>
      </c>
      <c r="B843" t="s">
        <v>60</v>
      </c>
      <c r="C843" t="s">
        <v>132</v>
      </c>
      <c r="D843" t="s">
        <v>26</v>
      </c>
      <c r="E843">
        <v>4</v>
      </c>
      <c r="F843">
        <v>12.33</v>
      </c>
      <c r="G843">
        <v>12.33</v>
      </c>
      <c r="H843">
        <v>2400</v>
      </c>
      <c r="I843">
        <v>29592</v>
      </c>
      <c r="J843">
        <v>4438.8</v>
      </c>
      <c r="K843">
        <v>34030.800000000003</v>
      </c>
    </row>
    <row r="844" spans="1:11" x14ac:dyDescent="0.25">
      <c r="A844" s="1">
        <v>45849</v>
      </c>
      <c r="B844" t="s">
        <v>164</v>
      </c>
      <c r="C844" t="s">
        <v>196</v>
      </c>
      <c r="D844" t="s">
        <v>32</v>
      </c>
      <c r="E844">
        <v>21</v>
      </c>
      <c r="F844">
        <v>1</v>
      </c>
      <c r="G844">
        <v>22</v>
      </c>
      <c r="H844">
        <v>500</v>
      </c>
      <c r="I844">
        <v>11000</v>
      </c>
      <c r="J844">
        <v>1650</v>
      </c>
      <c r="K844">
        <v>12650</v>
      </c>
    </row>
    <row r="845" spans="1:11" x14ac:dyDescent="0.25">
      <c r="A845" s="1">
        <v>45849</v>
      </c>
      <c r="B845" t="s">
        <v>199</v>
      </c>
      <c r="C845" t="s">
        <v>165</v>
      </c>
      <c r="D845" t="s">
        <v>11</v>
      </c>
      <c r="E845">
        <v>1</v>
      </c>
      <c r="F845">
        <v>1</v>
      </c>
      <c r="G845">
        <v>1</v>
      </c>
      <c r="H845" s="2">
        <v>3000</v>
      </c>
      <c r="I845">
        <v>3000</v>
      </c>
      <c r="J845">
        <v>450</v>
      </c>
      <c r="K845">
        <v>3450</v>
      </c>
    </row>
    <row r="846" spans="1:11" x14ac:dyDescent="0.25">
      <c r="A846" s="1">
        <v>45850</v>
      </c>
      <c r="B846" t="s">
        <v>60</v>
      </c>
      <c r="C846" t="s">
        <v>177</v>
      </c>
      <c r="D846" t="s">
        <v>19</v>
      </c>
      <c r="E846">
        <v>3</v>
      </c>
      <c r="F846">
        <v>11.1</v>
      </c>
      <c r="G846">
        <v>11.1</v>
      </c>
      <c r="H846">
        <v>2400</v>
      </c>
      <c r="I846">
        <v>26640</v>
      </c>
      <c r="J846">
        <v>3996</v>
      </c>
      <c r="K846">
        <v>30636</v>
      </c>
    </row>
    <row r="847" spans="1:11" x14ac:dyDescent="0.25">
      <c r="A847" s="1">
        <v>45850</v>
      </c>
      <c r="B847" t="s">
        <v>60</v>
      </c>
      <c r="C847" t="s">
        <v>155</v>
      </c>
      <c r="D847" t="s">
        <v>19</v>
      </c>
      <c r="E847">
        <v>3</v>
      </c>
      <c r="F847">
        <v>5</v>
      </c>
      <c r="G847">
        <v>5</v>
      </c>
      <c r="H847">
        <v>2400</v>
      </c>
      <c r="I847">
        <v>12000</v>
      </c>
      <c r="J847">
        <v>1800</v>
      </c>
      <c r="K847">
        <v>13800</v>
      </c>
    </row>
    <row r="848" spans="1:11" x14ac:dyDescent="0.25">
      <c r="A848" s="1">
        <v>45850</v>
      </c>
      <c r="B848" t="s">
        <v>131</v>
      </c>
      <c r="C848" t="s">
        <v>170</v>
      </c>
      <c r="D848" t="s">
        <v>26</v>
      </c>
      <c r="E848">
        <v>5</v>
      </c>
      <c r="F848">
        <v>5</v>
      </c>
      <c r="G848">
        <v>5</v>
      </c>
      <c r="H848">
        <v>3000</v>
      </c>
      <c r="I848">
        <v>15000</v>
      </c>
      <c r="J848">
        <v>2250</v>
      </c>
      <c r="K848">
        <v>17250</v>
      </c>
    </row>
    <row r="849" spans="1:11" x14ac:dyDescent="0.25">
      <c r="A849" s="1">
        <v>45850</v>
      </c>
      <c r="B849" t="s">
        <v>131</v>
      </c>
      <c r="C849" t="s">
        <v>116</v>
      </c>
      <c r="D849" t="s">
        <v>26</v>
      </c>
      <c r="E849">
        <v>5</v>
      </c>
      <c r="F849">
        <v>5</v>
      </c>
      <c r="G849">
        <v>5</v>
      </c>
      <c r="H849">
        <v>3000</v>
      </c>
      <c r="I849">
        <v>15000</v>
      </c>
      <c r="J849">
        <v>2250</v>
      </c>
      <c r="K849">
        <v>17250</v>
      </c>
    </row>
    <row r="850" spans="1:11" x14ac:dyDescent="0.25">
      <c r="A850" s="1">
        <v>45850</v>
      </c>
      <c r="B850" t="s">
        <v>12</v>
      </c>
      <c r="C850" t="s">
        <v>105</v>
      </c>
      <c r="D850" t="s">
        <v>19</v>
      </c>
      <c r="E850">
        <v>6</v>
      </c>
      <c r="F850">
        <v>1</v>
      </c>
      <c r="G850">
        <v>15.28</v>
      </c>
      <c r="H850">
        <v>20000</v>
      </c>
      <c r="I850">
        <v>305600</v>
      </c>
      <c r="J850">
        <v>45840</v>
      </c>
      <c r="K850">
        <v>351440</v>
      </c>
    </row>
    <row r="851" spans="1:11" x14ac:dyDescent="0.25">
      <c r="A851" s="1">
        <v>45850</v>
      </c>
      <c r="B851" t="s">
        <v>12</v>
      </c>
      <c r="C851" t="s">
        <v>129</v>
      </c>
      <c r="D851" t="s">
        <v>19</v>
      </c>
      <c r="E851">
        <v>6</v>
      </c>
      <c r="F851">
        <v>1</v>
      </c>
      <c r="G851">
        <v>4.3099999999999996</v>
      </c>
      <c r="H851">
        <v>25000</v>
      </c>
      <c r="I851">
        <v>107750</v>
      </c>
      <c r="J851">
        <v>16162.5</v>
      </c>
      <c r="K851">
        <v>123912.5</v>
      </c>
    </row>
    <row r="852" spans="1:11" x14ac:dyDescent="0.25">
      <c r="A852" s="1">
        <v>45850</v>
      </c>
      <c r="B852" t="s">
        <v>30</v>
      </c>
      <c r="C852" t="s">
        <v>96</v>
      </c>
      <c r="D852" t="s">
        <v>32</v>
      </c>
      <c r="E852">
        <v>11</v>
      </c>
      <c r="F852">
        <v>13</v>
      </c>
      <c r="G852">
        <v>808</v>
      </c>
      <c r="H852">
        <v>70</v>
      </c>
      <c r="I852">
        <v>56560</v>
      </c>
      <c r="J852">
        <v>8484</v>
      </c>
      <c r="K852">
        <v>65044</v>
      </c>
    </row>
    <row r="853" spans="1:11" x14ac:dyDescent="0.25">
      <c r="A853" s="1">
        <v>45850</v>
      </c>
      <c r="B853" t="s">
        <v>202</v>
      </c>
      <c r="C853" t="s">
        <v>99</v>
      </c>
      <c r="D853" t="s">
        <v>26</v>
      </c>
      <c r="E853">
        <v>8</v>
      </c>
      <c r="F853">
        <v>14285</v>
      </c>
      <c r="G853">
        <v>14284</v>
      </c>
      <c r="H853">
        <v>20</v>
      </c>
      <c r="I853">
        <v>285680</v>
      </c>
      <c r="J853">
        <v>42852</v>
      </c>
      <c r="K853">
        <v>328532</v>
      </c>
    </row>
    <row r="854" spans="1:11" x14ac:dyDescent="0.25">
      <c r="A854" s="1">
        <v>45850</v>
      </c>
      <c r="B854" t="s">
        <v>36</v>
      </c>
      <c r="C854" t="s">
        <v>215</v>
      </c>
      <c r="D854" t="s">
        <v>32</v>
      </c>
      <c r="E854">
        <v>4</v>
      </c>
      <c r="F854">
        <v>4</v>
      </c>
      <c r="G854">
        <v>5.25</v>
      </c>
      <c r="H854">
        <v>2400</v>
      </c>
      <c r="I854">
        <v>12600</v>
      </c>
      <c r="J854">
        <v>1890</v>
      </c>
      <c r="K854">
        <v>14490</v>
      </c>
    </row>
    <row r="855" spans="1:11" x14ac:dyDescent="0.25">
      <c r="A855" s="1">
        <v>45839</v>
      </c>
      <c r="B855" t="s">
        <v>42</v>
      </c>
      <c r="C855" t="s">
        <v>84</v>
      </c>
      <c r="D855" t="s">
        <v>26</v>
      </c>
      <c r="E855">
        <v>4</v>
      </c>
      <c r="F855">
        <v>206</v>
      </c>
      <c r="G855">
        <v>206</v>
      </c>
      <c r="H855">
        <v>70</v>
      </c>
      <c r="I855">
        <v>14420</v>
      </c>
      <c r="J855">
        <v>2163</v>
      </c>
      <c r="K855">
        <v>16583</v>
      </c>
    </row>
    <row r="856" spans="1:11" x14ac:dyDescent="0.25">
      <c r="A856" s="1">
        <v>45852</v>
      </c>
      <c r="B856" t="s">
        <v>42</v>
      </c>
      <c r="C856" t="s">
        <v>48</v>
      </c>
      <c r="D856" t="s">
        <v>27</v>
      </c>
      <c r="E856">
        <v>12</v>
      </c>
      <c r="F856">
        <v>91</v>
      </c>
      <c r="G856">
        <v>91</v>
      </c>
      <c r="H856">
        <v>70</v>
      </c>
      <c r="I856">
        <v>6370</v>
      </c>
      <c r="J856">
        <v>955.5</v>
      </c>
      <c r="K856">
        <v>7325.5</v>
      </c>
    </row>
    <row r="857" spans="1:11" x14ac:dyDescent="0.25">
      <c r="A857" s="1">
        <v>45852</v>
      </c>
      <c r="B857" t="s">
        <v>42</v>
      </c>
      <c r="C857" t="s">
        <v>48</v>
      </c>
      <c r="D857" t="s">
        <v>19</v>
      </c>
      <c r="E857">
        <v>10</v>
      </c>
      <c r="F857">
        <v>211</v>
      </c>
      <c r="G857">
        <v>211</v>
      </c>
      <c r="H857">
        <v>70</v>
      </c>
      <c r="I857">
        <v>14770</v>
      </c>
      <c r="J857">
        <v>2215.5</v>
      </c>
      <c r="K857">
        <v>16985.5</v>
      </c>
    </row>
    <row r="858" spans="1:11" x14ac:dyDescent="0.25">
      <c r="A858" s="1">
        <v>45852</v>
      </c>
      <c r="B858" t="s">
        <v>42</v>
      </c>
      <c r="C858" t="s">
        <v>40</v>
      </c>
      <c r="D858" t="s">
        <v>32</v>
      </c>
      <c r="E858">
        <v>3</v>
      </c>
      <c r="F858">
        <v>1016</v>
      </c>
      <c r="G858">
        <v>1016</v>
      </c>
      <c r="H858">
        <v>70</v>
      </c>
      <c r="I858">
        <v>71120</v>
      </c>
      <c r="J858">
        <v>10668</v>
      </c>
      <c r="K858">
        <v>81788</v>
      </c>
    </row>
    <row r="859" spans="1:11" x14ac:dyDescent="0.25">
      <c r="A859" s="1">
        <v>45850</v>
      </c>
      <c r="B859" t="s">
        <v>20</v>
      </c>
      <c r="C859" t="s">
        <v>143</v>
      </c>
      <c r="D859" t="s">
        <v>22</v>
      </c>
      <c r="E859">
        <v>1</v>
      </c>
      <c r="F859">
        <v>74</v>
      </c>
      <c r="G859">
        <v>74</v>
      </c>
      <c r="H859">
        <v>90</v>
      </c>
      <c r="I859">
        <v>6660</v>
      </c>
      <c r="J859">
        <v>999</v>
      </c>
      <c r="K859">
        <v>7659</v>
      </c>
    </row>
    <row r="860" spans="1:11" x14ac:dyDescent="0.25">
      <c r="A860" s="1">
        <v>45850</v>
      </c>
      <c r="B860" t="s">
        <v>20</v>
      </c>
      <c r="C860" t="s">
        <v>47</v>
      </c>
      <c r="D860" t="s">
        <v>26</v>
      </c>
      <c r="E860">
        <v>4</v>
      </c>
      <c r="F860">
        <v>200</v>
      </c>
      <c r="G860">
        <v>200</v>
      </c>
      <c r="H860">
        <v>90</v>
      </c>
      <c r="I860">
        <v>18000</v>
      </c>
      <c r="J860">
        <v>2700</v>
      </c>
      <c r="K860">
        <v>20700</v>
      </c>
    </row>
    <row r="861" spans="1:11" x14ac:dyDescent="0.25">
      <c r="A861" s="1">
        <v>45850</v>
      </c>
      <c r="B861" t="s">
        <v>153</v>
      </c>
      <c r="C861" t="s">
        <v>51</v>
      </c>
      <c r="D861" t="s">
        <v>19</v>
      </c>
      <c r="E861">
        <v>4</v>
      </c>
      <c r="F861">
        <v>0</v>
      </c>
      <c r="G861">
        <v>4</v>
      </c>
      <c r="H861">
        <v>2700</v>
      </c>
      <c r="I861">
        <v>10800</v>
      </c>
      <c r="J861">
        <v>1620</v>
      </c>
      <c r="K861">
        <v>12420</v>
      </c>
    </row>
    <row r="862" spans="1:11" x14ac:dyDescent="0.25">
      <c r="A862" s="1">
        <v>45850</v>
      </c>
      <c r="B862" t="s">
        <v>153</v>
      </c>
      <c r="C862" t="s">
        <v>143</v>
      </c>
      <c r="D862" t="s">
        <v>19</v>
      </c>
      <c r="E862">
        <v>3</v>
      </c>
      <c r="F862">
        <v>0</v>
      </c>
      <c r="G862">
        <v>3</v>
      </c>
      <c r="H862">
        <v>2700</v>
      </c>
      <c r="I862">
        <v>8100</v>
      </c>
      <c r="J862">
        <v>1215</v>
      </c>
      <c r="K862">
        <v>9315</v>
      </c>
    </row>
    <row r="863" spans="1:11" x14ac:dyDescent="0.25">
      <c r="A863" s="1">
        <v>45850</v>
      </c>
      <c r="B863" t="s">
        <v>20</v>
      </c>
      <c r="C863" t="s">
        <v>143</v>
      </c>
      <c r="D863" t="s">
        <v>17</v>
      </c>
      <c r="E863">
        <v>10</v>
      </c>
      <c r="F863">
        <v>789</v>
      </c>
      <c r="G863">
        <v>789</v>
      </c>
      <c r="H863">
        <v>90</v>
      </c>
      <c r="I863">
        <v>71010</v>
      </c>
      <c r="J863">
        <v>10651.5</v>
      </c>
      <c r="K863">
        <v>81661.5</v>
      </c>
    </row>
    <row r="864" spans="1:11" x14ac:dyDescent="0.25">
      <c r="A864" s="1">
        <v>45850</v>
      </c>
      <c r="B864" t="s">
        <v>20</v>
      </c>
      <c r="C864" t="s">
        <v>47</v>
      </c>
      <c r="D864" t="s">
        <v>27</v>
      </c>
      <c r="E864">
        <v>4</v>
      </c>
      <c r="F864">
        <v>47</v>
      </c>
      <c r="G864">
        <v>47</v>
      </c>
      <c r="H864">
        <v>90</v>
      </c>
      <c r="I864">
        <v>4230</v>
      </c>
      <c r="J864">
        <v>634.5</v>
      </c>
      <c r="K864">
        <v>4864.5</v>
      </c>
    </row>
    <row r="865" spans="1:11" x14ac:dyDescent="0.25">
      <c r="A865" s="1">
        <v>45850</v>
      </c>
      <c r="B865" t="s">
        <v>20</v>
      </c>
      <c r="C865" t="s">
        <v>143</v>
      </c>
      <c r="D865" t="s">
        <v>59</v>
      </c>
      <c r="E865">
        <v>3</v>
      </c>
      <c r="F865">
        <v>1</v>
      </c>
      <c r="G865">
        <v>491</v>
      </c>
      <c r="H865">
        <v>90</v>
      </c>
      <c r="I865">
        <v>44190</v>
      </c>
      <c r="J865">
        <v>6628.5</v>
      </c>
      <c r="K865">
        <v>50818.5</v>
      </c>
    </row>
    <row r="866" spans="1:11" x14ac:dyDescent="0.25">
      <c r="A866" s="1">
        <v>45850</v>
      </c>
      <c r="B866" t="s">
        <v>153</v>
      </c>
      <c r="C866" t="s">
        <v>48</v>
      </c>
      <c r="D866" t="s">
        <v>19</v>
      </c>
      <c r="E866">
        <v>2</v>
      </c>
      <c r="F866">
        <v>0</v>
      </c>
      <c r="G866">
        <v>2</v>
      </c>
      <c r="H866">
        <v>2700</v>
      </c>
      <c r="I866">
        <v>5400</v>
      </c>
      <c r="J866">
        <v>810</v>
      </c>
      <c r="K866">
        <v>6210</v>
      </c>
    </row>
    <row r="867" spans="1:11" x14ac:dyDescent="0.25">
      <c r="A867" s="1">
        <v>45850</v>
      </c>
      <c r="B867" t="s">
        <v>153</v>
      </c>
      <c r="C867" t="s">
        <v>50</v>
      </c>
      <c r="D867" t="s">
        <v>19</v>
      </c>
      <c r="E867">
        <v>2</v>
      </c>
      <c r="F867">
        <v>0</v>
      </c>
      <c r="G867">
        <v>2</v>
      </c>
      <c r="H867">
        <v>2700</v>
      </c>
      <c r="I867">
        <v>5400</v>
      </c>
      <c r="J867">
        <v>810</v>
      </c>
      <c r="K867">
        <v>6210</v>
      </c>
    </row>
    <row r="868" spans="1:11" x14ac:dyDescent="0.25">
      <c r="A868" s="1">
        <v>45850</v>
      </c>
      <c r="B868" t="s">
        <v>20</v>
      </c>
      <c r="C868" t="s">
        <v>51</v>
      </c>
      <c r="D868" t="s">
        <v>14</v>
      </c>
      <c r="E868">
        <v>8</v>
      </c>
      <c r="F868">
        <v>11</v>
      </c>
      <c r="G868">
        <v>600</v>
      </c>
      <c r="H868">
        <v>90</v>
      </c>
      <c r="I868">
        <v>54000</v>
      </c>
      <c r="J868">
        <v>8100</v>
      </c>
      <c r="K868">
        <v>62100</v>
      </c>
    </row>
    <row r="869" spans="1:11" x14ac:dyDescent="0.25">
      <c r="A869" s="1">
        <v>45850</v>
      </c>
      <c r="B869" t="s">
        <v>36</v>
      </c>
      <c r="C869" t="s">
        <v>46</v>
      </c>
      <c r="D869" t="s">
        <v>19</v>
      </c>
      <c r="E869">
        <v>3</v>
      </c>
      <c r="F869">
        <v>6</v>
      </c>
      <c r="G869">
        <v>8</v>
      </c>
      <c r="H869">
        <v>2400</v>
      </c>
      <c r="I869">
        <v>19200</v>
      </c>
      <c r="J869">
        <v>2880</v>
      </c>
      <c r="K869">
        <v>22080</v>
      </c>
    </row>
    <row r="870" spans="1:11" x14ac:dyDescent="0.25">
      <c r="A870" s="1">
        <v>45850</v>
      </c>
      <c r="B870" t="s">
        <v>36</v>
      </c>
      <c r="C870" t="s">
        <v>81</v>
      </c>
      <c r="D870" t="s">
        <v>24</v>
      </c>
      <c r="E870">
        <v>7</v>
      </c>
      <c r="F870">
        <v>5</v>
      </c>
      <c r="G870">
        <v>20</v>
      </c>
      <c r="H870">
        <v>2400</v>
      </c>
      <c r="I870">
        <v>48000</v>
      </c>
      <c r="J870">
        <v>7200</v>
      </c>
      <c r="K870">
        <v>55200</v>
      </c>
    </row>
    <row r="871" spans="1:11" x14ac:dyDescent="0.25">
      <c r="A871" s="1">
        <v>45850</v>
      </c>
      <c r="B871" t="s">
        <v>199</v>
      </c>
      <c r="C871" t="s">
        <v>178</v>
      </c>
      <c r="D871" t="s">
        <v>11</v>
      </c>
      <c r="E871">
        <v>1</v>
      </c>
      <c r="F871">
        <v>4</v>
      </c>
      <c r="G871">
        <v>1</v>
      </c>
      <c r="H871" s="2">
        <v>3000</v>
      </c>
      <c r="I871">
        <v>3000</v>
      </c>
      <c r="J871">
        <v>450</v>
      </c>
      <c r="K871">
        <v>3450</v>
      </c>
    </row>
    <row r="872" spans="1:11" x14ac:dyDescent="0.25">
      <c r="A872" s="1">
        <v>45850</v>
      </c>
      <c r="B872" t="s">
        <v>36</v>
      </c>
      <c r="C872" t="s">
        <v>155</v>
      </c>
      <c r="D872" t="s">
        <v>17</v>
      </c>
      <c r="E872">
        <v>5</v>
      </c>
      <c r="F872">
        <v>10</v>
      </c>
      <c r="G872">
        <v>3.75</v>
      </c>
      <c r="H872">
        <v>2400</v>
      </c>
      <c r="I872">
        <v>9000</v>
      </c>
      <c r="J872">
        <v>1350</v>
      </c>
      <c r="K872">
        <v>10350</v>
      </c>
    </row>
    <row r="873" spans="1:11" x14ac:dyDescent="0.25">
      <c r="A873" s="1">
        <v>45850</v>
      </c>
      <c r="B873" t="s">
        <v>36</v>
      </c>
      <c r="C873" t="s">
        <v>47</v>
      </c>
      <c r="D873" t="s">
        <v>32</v>
      </c>
      <c r="E873">
        <v>8</v>
      </c>
      <c r="F873">
        <v>8</v>
      </c>
      <c r="G873">
        <v>15</v>
      </c>
      <c r="H873">
        <v>2400</v>
      </c>
      <c r="I873">
        <v>36000</v>
      </c>
      <c r="J873">
        <v>5400</v>
      </c>
      <c r="K873">
        <v>41400</v>
      </c>
    </row>
    <row r="874" spans="1:11" x14ac:dyDescent="0.25">
      <c r="A874" s="1">
        <v>45850</v>
      </c>
      <c r="B874" t="s">
        <v>199</v>
      </c>
      <c r="C874" t="s">
        <v>203</v>
      </c>
      <c r="D874" t="s">
        <v>27</v>
      </c>
      <c r="E874">
        <v>2</v>
      </c>
      <c r="F874">
        <v>0</v>
      </c>
      <c r="G874">
        <v>2</v>
      </c>
      <c r="H874">
        <v>3000</v>
      </c>
      <c r="I874">
        <v>6000</v>
      </c>
      <c r="J874">
        <v>900</v>
      </c>
      <c r="K874">
        <v>6900</v>
      </c>
    </row>
    <row r="875" spans="1:11" x14ac:dyDescent="0.25">
      <c r="A875" s="1">
        <v>45851</v>
      </c>
      <c r="B875" t="s">
        <v>204</v>
      </c>
      <c r="C875" t="s">
        <v>216</v>
      </c>
      <c r="D875" t="s">
        <v>17</v>
      </c>
      <c r="E875">
        <v>10</v>
      </c>
      <c r="F875">
        <v>285</v>
      </c>
      <c r="G875">
        <v>285</v>
      </c>
      <c r="H875">
        <v>100</v>
      </c>
      <c r="I875">
        <v>28500</v>
      </c>
      <c r="J875">
        <v>4275</v>
      </c>
      <c r="K875">
        <v>32775</v>
      </c>
    </row>
    <row r="876" spans="1:11" x14ac:dyDescent="0.25">
      <c r="A876" s="1">
        <v>45851</v>
      </c>
      <c r="B876" t="s">
        <v>204</v>
      </c>
      <c r="C876" t="s">
        <v>217</v>
      </c>
      <c r="D876" t="s">
        <v>57</v>
      </c>
      <c r="E876">
        <v>21</v>
      </c>
      <c r="F876">
        <v>10522</v>
      </c>
      <c r="G876">
        <v>10522</v>
      </c>
      <c r="H876">
        <v>100</v>
      </c>
      <c r="I876">
        <v>1052200</v>
      </c>
      <c r="J876">
        <v>157830</v>
      </c>
      <c r="K876">
        <v>1210030</v>
      </c>
    </row>
    <row r="877" spans="1:11" x14ac:dyDescent="0.25">
      <c r="A877" s="1">
        <v>45850</v>
      </c>
      <c r="B877" t="s">
        <v>131</v>
      </c>
      <c r="C877" t="s">
        <v>182</v>
      </c>
      <c r="D877" t="s">
        <v>26</v>
      </c>
      <c r="E877">
        <v>5</v>
      </c>
      <c r="F877">
        <v>5</v>
      </c>
      <c r="G877">
        <v>5</v>
      </c>
      <c r="H877">
        <v>3000</v>
      </c>
      <c r="I877">
        <v>15000</v>
      </c>
      <c r="J877">
        <v>2250</v>
      </c>
      <c r="K877">
        <v>17250</v>
      </c>
    </row>
    <row r="878" spans="1:11" x14ac:dyDescent="0.25">
      <c r="A878" s="1">
        <v>45852</v>
      </c>
      <c r="B878" t="s">
        <v>131</v>
      </c>
      <c r="C878" t="s">
        <v>93</v>
      </c>
      <c r="D878" t="s">
        <v>26</v>
      </c>
      <c r="E878">
        <v>5</v>
      </c>
      <c r="F878">
        <v>5</v>
      </c>
      <c r="G878">
        <v>5</v>
      </c>
      <c r="H878">
        <v>3000</v>
      </c>
      <c r="I878">
        <v>15000</v>
      </c>
      <c r="J878">
        <v>2250</v>
      </c>
      <c r="K878">
        <v>17250</v>
      </c>
    </row>
    <row r="879" spans="1:11" x14ac:dyDescent="0.25">
      <c r="A879" s="1">
        <v>45852</v>
      </c>
      <c r="B879" t="s">
        <v>131</v>
      </c>
      <c r="C879" t="s">
        <v>99</v>
      </c>
      <c r="D879" t="s">
        <v>26</v>
      </c>
      <c r="E879">
        <v>5</v>
      </c>
      <c r="F879">
        <v>5</v>
      </c>
      <c r="G879">
        <v>5</v>
      </c>
      <c r="H879">
        <v>3000</v>
      </c>
      <c r="I879">
        <v>15000</v>
      </c>
      <c r="J879">
        <v>2250</v>
      </c>
      <c r="K879">
        <v>17250</v>
      </c>
    </row>
    <row r="880" spans="1:11" x14ac:dyDescent="0.25">
      <c r="A880" s="1">
        <v>45852</v>
      </c>
      <c r="B880" t="s">
        <v>131</v>
      </c>
      <c r="C880" t="s">
        <v>46</v>
      </c>
      <c r="D880" t="s">
        <v>26</v>
      </c>
      <c r="E880">
        <v>5</v>
      </c>
      <c r="F880">
        <v>5</v>
      </c>
      <c r="G880">
        <v>5</v>
      </c>
      <c r="H880">
        <v>3000</v>
      </c>
      <c r="I880">
        <v>15000</v>
      </c>
      <c r="J880">
        <v>2250</v>
      </c>
      <c r="K880">
        <v>17250</v>
      </c>
    </row>
    <row r="881" spans="1:11" x14ac:dyDescent="0.25">
      <c r="A881" s="1">
        <v>45852</v>
      </c>
      <c r="B881" t="s">
        <v>131</v>
      </c>
      <c r="C881" t="s">
        <v>47</v>
      </c>
      <c r="D881" t="s">
        <v>26</v>
      </c>
      <c r="E881">
        <v>19</v>
      </c>
      <c r="F881">
        <v>5</v>
      </c>
      <c r="G881">
        <v>19</v>
      </c>
      <c r="H881">
        <v>3000</v>
      </c>
      <c r="I881">
        <v>57000</v>
      </c>
      <c r="J881">
        <v>8550</v>
      </c>
      <c r="K881">
        <v>65550</v>
      </c>
    </row>
    <row r="882" spans="1:11" x14ac:dyDescent="0.25">
      <c r="A882" s="1">
        <v>45852</v>
      </c>
      <c r="B882" t="s">
        <v>131</v>
      </c>
      <c r="C882" t="s">
        <v>53</v>
      </c>
      <c r="D882" t="s">
        <v>26</v>
      </c>
      <c r="E882">
        <v>19</v>
      </c>
      <c r="F882">
        <v>5</v>
      </c>
      <c r="G882">
        <v>19</v>
      </c>
      <c r="H882">
        <v>3000</v>
      </c>
      <c r="I882">
        <v>57000</v>
      </c>
      <c r="J882">
        <v>8550</v>
      </c>
      <c r="K882">
        <v>65550</v>
      </c>
    </row>
    <row r="883" spans="1:11" x14ac:dyDescent="0.25">
      <c r="A883" s="1">
        <v>45852</v>
      </c>
      <c r="B883" t="s">
        <v>131</v>
      </c>
      <c r="C883" t="s">
        <v>119</v>
      </c>
      <c r="D883" t="s">
        <v>26</v>
      </c>
      <c r="E883">
        <v>5</v>
      </c>
      <c r="F883">
        <v>5</v>
      </c>
      <c r="G883">
        <v>5</v>
      </c>
      <c r="H883">
        <v>3000</v>
      </c>
      <c r="I883">
        <v>15000</v>
      </c>
      <c r="J883">
        <v>2250</v>
      </c>
      <c r="K883">
        <v>17250</v>
      </c>
    </row>
    <row r="884" spans="1:11" x14ac:dyDescent="0.25">
      <c r="A884" s="1">
        <v>45852</v>
      </c>
      <c r="B884" t="s">
        <v>131</v>
      </c>
      <c r="C884" t="s">
        <v>72</v>
      </c>
      <c r="D884" t="s">
        <v>26</v>
      </c>
      <c r="E884">
        <v>5</v>
      </c>
      <c r="F884">
        <v>5</v>
      </c>
      <c r="G884">
        <v>5</v>
      </c>
      <c r="H884">
        <v>3000</v>
      </c>
      <c r="I884">
        <v>15000</v>
      </c>
      <c r="J884">
        <v>2250</v>
      </c>
      <c r="K884">
        <v>17250</v>
      </c>
    </row>
    <row r="885" spans="1:11" x14ac:dyDescent="0.25">
      <c r="A885" s="1">
        <v>45852</v>
      </c>
      <c r="B885" t="s">
        <v>131</v>
      </c>
      <c r="C885" t="s">
        <v>40</v>
      </c>
      <c r="D885" t="s">
        <v>26</v>
      </c>
      <c r="E885">
        <v>5</v>
      </c>
      <c r="F885">
        <v>5</v>
      </c>
      <c r="G885">
        <v>5</v>
      </c>
      <c r="H885">
        <v>3000</v>
      </c>
      <c r="I885">
        <v>15000</v>
      </c>
      <c r="J885">
        <v>2250</v>
      </c>
      <c r="K885">
        <v>17250</v>
      </c>
    </row>
    <row r="886" spans="1:11" x14ac:dyDescent="0.25">
      <c r="A886" s="1">
        <v>45852</v>
      </c>
      <c r="B886" t="s">
        <v>36</v>
      </c>
      <c r="C886" t="s">
        <v>126</v>
      </c>
      <c r="D886" t="s">
        <v>19</v>
      </c>
      <c r="E886">
        <v>5</v>
      </c>
      <c r="F886">
        <v>3</v>
      </c>
      <c r="G886">
        <v>7.76</v>
      </c>
      <c r="H886">
        <v>2400</v>
      </c>
      <c r="I886">
        <v>18624</v>
      </c>
      <c r="J886">
        <v>2793.6</v>
      </c>
      <c r="K886">
        <v>21417.599999999999</v>
      </c>
    </row>
    <row r="887" spans="1:11" x14ac:dyDescent="0.25">
      <c r="A887" s="1">
        <v>45852</v>
      </c>
      <c r="B887" t="s">
        <v>20</v>
      </c>
      <c r="C887" t="s">
        <v>52</v>
      </c>
      <c r="D887" t="s">
        <v>17</v>
      </c>
      <c r="E887">
        <v>7</v>
      </c>
      <c r="F887">
        <v>295</v>
      </c>
      <c r="G887">
        <v>295</v>
      </c>
      <c r="H887">
        <v>90</v>
      </c>
      <c r="I887">
        <v>26550</v>
      </c>
      <c r="J887">
        <v>3982.5</v>
      </c>
      <c r="K887">
        <v>30532.5</v>
      </c>
    </row>
    <row r="888" spans="1:11" x14ac:dyDescent="0.25">
      <c r="A888" s="1">
        <v>45852</v>
      </c>
      <c r="B888" t="s">
        <v>65</v>
      </c>
      <c r="C888" t="s">
        <v>48</v>
      </c>
      <c r="D888" t="s">
        <v>24</v>
      </c>
      <c r="E888">
        <v>5</v>
      </c>
      <c r="F888">
        <v>1390</v>
      </c>
      <c r="G888">
        <v>1390</v>
      </c>
      <c r="H888">
        <v>70</v>
      </c>
      <c r="I888">
        <v>97300</v>
      </c>
      <c r="J888">
        <v>14595</v>
      </c>
      <c r="K888">
        <v>111895</v>
      </c>
    </row>
    <row r="889" spans="1:11" x14ac:dyDescent="0.25">
      <c r="A889" s="1">
        <v>45844</v>
      </c>
      <c r="B889" t="s">
        <v>20</v>
      </c>
      <c r="C889" t="s">
        <v>13</v>
      </c>
      <c r="D889" t="s">
        <v>19</v>
      </c>
      <c r="E889">
        <v>8</v>
      </c>
      <c r="F889">
        <v>8</v>
      </c>
      <c r="G889">
        <v>200</v>
      </c>
      <c r="H889">
        <v>90</v>
      </c>
      <c r="I889">
        <v>18000</v>
      </c>
      <c r="J889">
        <v>2700</v>
      </c>
      <c r="K889">
        <v>20700</v>
      </c>
    </row>
    <row r="890" spans="1:11" x14ac:dyDescent="0.25">
      <c r="A890" s="1">
        <v>45852</v>
      </c>
      <c r="B890" t="s">
        <v>199</v>
      </c>
      <c r="C890" t="s">
        <v>95</v>
      </c>
      <c r="D890" t="s">
        <v>27</v>
      </c>
      <c r="E890">
        <v>2</v>
      </c>
      <c r="F890">
        <v>0</v>
      </c>
      <c r="G890">
        <v>2</v>
      </c>
      <c r="H890">
        <v>3000</v>
      </c>
      <c r="I890">
        <v>6000</v>
      </c>
      <c r="J890">
        <v>900</v>
      </c>
      <c r="K890">
        <v>6900</v>
      </c>
    </row>
    <row r="891" spans="1:11" x14ac:dyDescent="0.25">
      <c r="A891" s="1">
        <v>45836</v>
      </c>
      <c r="B891" t="s">
        <v>44</v>
      </c>
      <c r="C891" t="s">
        <v>28</v>
      </c>
      <c r="D891" t="s">
        <v>63</v>
      </c>
      <c r="E891">
        <v>8</v>
      </c>
      <c r="F891">
        <v>1080</v>
      </c>
      <c r="G891">
        <v>1080</v>
      </c>
      <c r="H891">
        <v>70</v>
      </c>
      <c r="I891">
        <v>75600</v>
      </c>
      <c r="J891">
        <v>11340</v>
      </c>
      <c r="K891">
        <v>86940</v>
      </c>
    </row>
    <row r="892" spans="1:11" x14ac:dyDescent="0.25">
      <c r="A892" s="1">
        <v>45836</v>
      </c>
      <c r="B892" t="s">
        <v>44</v>
      </c>
      <c r="C892" t="s">
        <v>47</v>
      </c>
      <c r="D892" t="s">
        <v>63</v>
      </c>
      <c r="E892">
        <v>8</v>
      </c>
      <c r="F892">
        <v>587</v>
      </c>
      <c r="G892">
        <v>587</v>
      </c>
      <c r="H892">
        <v>70</v>
      </c>
      <c r="I892">
        <v>41090</v>
      </c>
      <c r="J892">
        <v>6163.5</v>
      </c>
      <c r="K892">
        <v>47253.5</v>
      </c>
    </row>
    <row r="893" spans="1:11" x14ac:dyDescent="0.25">
      <c r="A893" s="1">
        <v>45836</v>
      </c>
      <c r="B893" t="s">
        <v>44</v>
      </c>
      <c r="C893" t="s">
        <v>48</v>
      </c>
      <c r="D893" t="s">
        <v>63</v>
      </c>
      <c r="E893">
        <v>8</v>
      </c>
      <c r="F893">
        <v>587</v>
      </c>
      <c r="G893">
        <v>587</v>
      </c>
      <c r="H893">
        <v>70</v>
      </c>
      <c r="I893">
        <v>41090</v>
      </c>
      <c r="J893">
        <v>6163.5</v>
      </c>
      <c r="K893">
        <v>47253.5</v>
      </c>
    </row>
    <row r="894" spans="1:11" x14ac:dyDescent="0.25">
      <c r="A894" s="1">
        <v>45836</v>
      </c>
      <c r="B894" t="s">
        <v>44</v>
      </c>
      <c r="C894" t="s">
        <v>49</v>
      </c>
      <c r="D894" t="s">
        <v>63</v>
      </c>
      <c r="E894">
        <v>8</v>
      </c>
      <c r="F894">
        <v>600</v>
      </c>
      <c r="G894">
        <v>600</v>
      </c>
      <c r="H894">
        <v>70</v>
      </c>
      <c r="I894">
        <v>42000</v>
      </c>
      <c r="J894">
        <v>6300</v>
      </c>
      <c r="K894">
        <v>48300</v>
      </c>
    </row>
    <row r="895" spans="1:11" x14ac:dyDescent="0.25">
      <c r="A895" s="1">
        <v>45836</v>
      </c>
      <c r="B895" t="s">
        <v>44</v>
      </c>
      <c r="C895" t="s">
        <v>109</v>
      </c>
      <c r="D895" t="s">
        <v>63</v>
      </c>
      <c r="E895">
        <v>8</v>
      </c>
      <c r="F895">
        <v>796</v>
      </c>
      <c r="G895">
        <v>796</v>
      </c>
      <c r="H895">
        <v>70</v>
      </c>
      <c r="I895">
        <v>55720</v>
      </c>
      <c r="J895">
        <v>8358</v>
      </c>
      <c r="K895">
        <v>64078</v>
      </c>
    </row>
    <row r="896" spans="1:11" x14ac:dyDescent="0.25">
      <c r="A896" s="1">
        <v>45836</v>
      </c>
      <c r="B896" t="s">
        <v>44</v>
      </c>
      <c r="C896" t="s">
        <v>50</v>
      </c>
      <c r="D896" t="s">
        <v>63</v>
      </c>
      <c r="E896">
        <v>8</v>
      </c>
      <c r="F896">
        <v>1741</v>
      </c>
      <c r="G896">
        <v>1741</v>
      </c>
      <c r="H896">
        <v>70</v>
      </c>
      <c r="I896">
        <v>121870</v>
      </c>
      <c r="J896">
        <v>18280.5</v>
      </c>
      <c r="K896">
        <v>140150.5</v>
      </c>
    </row>
    <row r="897" spans="1:11" x14ac:dyDescent="0.25">
      <c r="A897" s="1">
        <v>45836</v>
      </c>
      <c r="B897" t="s">
        <v>44</v>
      </c>
      <c r="C897" t="s">
        <v>51</v>
      </c>
      <c r="D897" t="s">
        <v>63</v>
      </c>
      <c r="E897">
        <v>8</v>
      </c>
      <c r="F897">
        <v>413</v>
      </c>
      <c r="G897">
        <v>413</v>
      </c>
      <c r="H897">
        <v>70</v>
      </c>
      <c r="I897">
        <v>28910</v>
      </c>
      <c r="J897">
        <v>4336.5</v>
      </c>
      <c r="K897">
        <v>33246.5</v>
      </c>
    </row>
    <row r="898" spans="1:11" x14ac:dyDescent="0.25">
      <c r="A898" s="1">
        <v>45836</v>
      </c>
      <c r="B898" t="s">
        <v>44</v>
      </c>
      <c r="C898" t="s">
        <v>160</v>
      </c>
      <c r="D898" t="s">
        <v>63</v>
      </c>
      <c r="E898">
        <v>8</v>
      </c>
      <c r="F898">
        <v>1077</v>
      </c>
      <c r="G898">
        <v>1077</v>
      </c>
      <c r="H898">
        <v>70</v>
      </c>
      <c r="I898">
        <v>75390</v>
      </c>
      <c r="J898">
        <v>11308.5</v>
      </c>
      <c r="K898">
        <v>86698.5</v>
      </c>
    </row>
    <row r="899" spans="1:11" x14ac:dyDescent="0.25">
      <c r="A899" s="1">
        <v>45836</v>
      </c>
      <c r="B899" t="s">
        <v>44</v>
      </c>
      <c r="C899" t="s">
        <v>52</v>
      </c>
      <c r="D899" t="s">
        <v>63</v>
      </c>
      <c r="E899">
        <v>8</v>
      </c>
      <c r="F899">
        <v>670</v>
      </c>
      <c r="G899">
        <v>670</v>
      </c>
      <c r="H899">
        <v>70</v>
      </c>
      <c r="I899">
        <v>46900</v>
      </c>
      <c r="J899">
        <v>7035</v>
      </c>
      <c r="K899">
        <v>53935</v>
      </c>
    </row>
    <row r="900" spans="1:11" x14ac:dyDescent="0.25">
      <c r="A900" s="1">
        <v>45836</v>
      </c>
      <c r="B900" t="s">
        <v>44</v>
      </c>
      <c r="C900" t="s">
        <v>53</v>
      </c>
      <c r="D900" t="s">
        <v>63</v>
      </c>
      <c r="E900">
        <v>8</v>
      </c>
      <c r="F900">
        <v>75</v>
      </c>
      <c r="G900">
        <v>75</v>
      </c>
      <c r="H900">
        <v>70</v>
      </c>
      <c r="I900">
        <v>5250</v>
      </c>
      <c r="J900">
        <v>787.5</v>
      </c>
      <c r="K900">
        <v>6037.5</v>
      </c>
    </row>
    <row r="901" spans="1:11" x14ac:dyDescent="0.25">
      <c r="A901" s="1">
        <v>45836</v>
      </c>
      <c r="B901" t="s">
        <v>44</v>
      </c>
      <c r="C901" t="s">
        <v>143</v>
      </c>
      <c r="D901" t="s">
        <v>63</v>
      </c>
      <c r="E901">
        <v>8</v>
      </c>
      <c r="F901">
        <v>572</v>
      </c>
      <c r="G901">
        <v>572</v>
      </c>
      <c r="H901">
        <v>70</v>
      </c>
      <c r="I901">
        <v>40040</v>
      </c>
      <c r="J901">
        <v>6006</v>
      </c>
      <c r="K901">
        <v>46046</v>
      </c>
    </row>
    <row r="902" spans="1:11" x14ac:dyDescent="0.25">
      <c r="A902" s="1">
        <v>45836</v>
      </c>
      <c r="B902" t="s">
        <v>44</v>
      </c>
      <c r="C902" t="s">
        <v>146</v>
      </c>
      <c r="D902" t="s">
        <v>27</v>
      </c>
      <c r="E902">
        <v>8</v>
      </c>
      <c r="F902">
        <v>105</v>
      </c>
      <c r="G902">
        <v>105</v>
      </c>
      <c r="H902">
        <v>70</v>
      </c>
      <c r="I902">
        <v>7350</v>
      </c>
      <c r="J902">
        <v>1102.5</v>
      </c>
      <c r="K902">
        <v>8452.5</v>
      </c>
    </row>
    <row r="903" spans="1:11" x14ac:dyDescent="0.25">
      <c r="A903" s="1">
        <v>45852</v>
      </c>
      <c r="B903" t="s">
        <v>44</v>
      </c>
      <c r="C903" t="s">
        <v>90</v>
      </c>
      <c r="D903" t="s">
        <v>63</v>
      </c>
      <c r="E903">
        <v>7</v>
      </c>
      <c r="F903">
        <v>427</v>
      </c>
      <c r="G903">
        <v>427</v>
      </c>
      <c r="H903">
        <v>70</v>
      </c>
      <c r="I903">
        <v>29890</v>
      </c>
      <c r="J903">
        <v>4483.5</v>
      </c>
      <c r="K903">
        <v>34373.5</v>
      </c>
    </row>
    <row r="904" spans="1:11" x14ac:dyDescent="0.25">
      <c r="A904" s="1">
        <v>45852</v>
      </c>
      <c r="B904" t="s">
        <v>44</v>
      </c>
      <c r="C904" t="s">
        <v>85</v>
      </c>
      <c r="D904" t="s">
        <v>63</v>
      </c>
      <c r="E904">
        <v>7</v>
      </c>
      <c r="F904">
        <v>913</v>
      </c>
      <c r="G904">
        <v>913</v>
      </c>
      <c r="H904">
        <v>70</v>
      </c>
      <c r="I904">
        <v>63910</v>
      </c>
      <c r="J904">
        <v>9586.5</v>
      </c>
      <c r="K904">
        <v>73496.5</v>
      </c>
    </row>
    <row r="905" spans="1:11" x14ac:dyDescent="0.25">
      <c r="A905" s="1">
        <v>45852</v>
      </c>
      <c r="B905" t="s">
        <v>44</v>
      </c>
      <c r="C905" t="s">
        <v>66</v>
      </c>
      <c r="D905" t="s">
        <v>63</v>
      </c>
      <c r="E905">
        <v>7</v>
      </c>
      <c r="F905">
        <v>362</v>
      </c>
      <c r="G905">
        <v>302</v>
      </c>
      <c r="H905">
        <v>70</v>
      </c>
      <c r="I905">
        <v>21140</v>
      </c>
      <c r="J905">
        <v>3171</v>
      </c>
      <c r="K905">
        <v>24311</v>
      </c>
    </row>
    <row r="906" spans="1:11" x14ac:dyDescent="0.25">
      <c r="A906" s="1">
        <v>45852</v>
      </c>
      <c r="B906" t="s">
        <v>44</v>
      </c>
      <c r="C906" t="s">
        <v>72</v>
      </c>
      <c r="D906" t="s">
        <v>63</v>
      </c>
      <c r="E906">
        <v>7</v>
      </c>
      <c r="F906">
        <v>462</v>
      </c>
      <c r="G906">
        <v>462</v>
      </c>
      <c r="H906">
        <v>70</v>
      </c>
      <c r="I906">
        <v>32340</v>
      </c>
      <c r="J906">
        <v>4851</v>
      </c>
      <c r="K906">
        <v>37191</v>
      </c>
    </row>
    <row r="907" spans="1:11" x14ac:dyDescent="0.25">
      <c r="A907" s="1">
        <v>45852</v>
      </c>
      <c r="B907" t="s">
        <v>44</v>
      </c>
      <c r="C907" t="s">
        <v>67</v>
      </c>
      <c r="D907" t="s">
        <v>63</v>
      </c>
      <c r="E907">
        <v>7</v>
      </c>
      <c r="F907">
        <v>558</v>
      </c>
      <c r="G907">
        <v>558</v>
      </c>
      <c r="H907">
        <v>70</v>
      </c>
      <c r="I907">
        <v>39060</v>
      </c>
      <c r="J907">
        <v>5859</v>
      </c>
      <c r="K907">
        <v>44919</v>
      </c>
    </row>
    <row r="908" spans="1:11" x14ac:dyDescent="0.25">
      <c r="A908" s="1">
        <v>45852</v>
      </c>
      <c r="B908" t="s">
        <v>44</v>
      </c>
      <c r="C908" t="s">
        <v>40</v>
      </c>
      <c r="D908" t="s">
        <v>63</v>
      </c>
      <c r="E908">
        <v>7</v>
      </c>
      <c r="F908">
        <v>750</v>
      </c>
      <c r="G908">
        <v>750</v>
      </c>
      <c r="H908">
        <v>70</v>
      </c>
      <c r="I908">
        <v>52500</v>
      </c>
      <c r="J908">
        <v>7875</v>
      </c>
      <c r="K908">
        <v>60375</v>
      </c>
    </row>
    <row r="909" spans="1:11" x14ac:dyDescent="0.25">
      <c r="A909" s="1">
        <v>45852</v>
      </c>
      <c r="B909" t="s">
        <v>44</v>
      </c>
      <c r="C909" t="s">
        <v>100</v>
      </c>
      <c r="D909" t="s">
        <v>63</v>
      </c>
      <c r="E909">
        <v>7</v>
      </c>
      <c r="F909">
        <v>120</v>
      </c>
      <c r="G909">
        <v>120</v>
      </c>
      <c r="H909">
        <v>70</v>
      </c>
      <c r="I909">
        <v>8400</v>
      </c>
      <c r="J909">
        <v>1260</v>
      </c>
      <c r="K909">
        <v>9660</v>
      </c>
    </row>
    <row r="910" spans="1:11" x14ac:dyDescent="0.25">
      <c r="A910" s="1">
        <v>45852</v>
      </c>
      <c r="B910" t="s">
        <v>44</v>
      </c>
      <c r="C910" t="s">
        <v>38</v>
      </c>
      <c r="D910" t="s">
        <v>63</v>
      </c>
      <c r="E910">
        <v>7</v>
      </c>
      <c r="F910">
        <v>1702</v>
      </c>
      <c r="G910">
        <v>1702</v>
      </c>
      <c r="H910">
        <v>70</v>
      </c>
      <c r="I910">
        <v>119140</v>
      </c>
      <c r="J910">
        <v>17871</v>
      </c>
      <c r="K910">
        <v>137011</v>
      </c>
    </row>
    <row r="911" spans="1:11" x14ac:dyDescent="0.25">
      <c r="A911" s="1">
        <v>45852</v>
      </c>
      <c r="B911" t="s">
        <v>20</v>
      </c>
      <c r="C911" t="s">
        <v>52</v>
      </c>
      <c r="D911" t="s">
        <v>24</v>
      </c>
      <c r="E911">
        <v>17</v>
      </c>
      <c r="F911">
        <v>235</v>
      </c>
      <c r="G911">
        <v>235</v>
      </c>
      <c r="H911">
        <v>90</v>
      </c>
      <c r="I911">
        <v>21150</v>
      </c>
      <c r="J911">
        <v>3172.5</v>
      </c>
      <c r="K911">
        <v>24322.5</v>
      </c>
    </row>
    <row r="912" spans="1:11" x14ac:dyDescent="0.25">
      <c r="A912" s="1">
        <v>45852</v>
      </c>
      <c r="B912" t="s">
        <v>65</v>
      </c>
      <c r="C912" t="s">
        <v>87</v>
      </c>
      <c r="D912" t="s">
        <v>32</v>
      </c>
      <c r="E912">
        <v>1</v>
      </c>
      <c r="F912">
        <v>100</v>
      </c>
      <c r="G912">
        <v>100</v>
      </c>
      <c r="H912">
        <v>70</v>
      </c>
      <c r="I912">
        <v>7000</v>
      </c>
      <c r="J912">
        <v>1050</v>
      </c>
      <c r="K912">
        <v>8050</v>
      </c>
    </row>
    <row r="913" spans="1:11" x14ac:dyDescent="0.25">
      <c r="A913" s="1">
        <v>45852</v>
      </c>
      <c r="B913" t="s">
        <v>65</v>
      </c>
      <c r="C913" t="s">
        <v>87</v>
      </c>
      <c r="D913" t="s">
        <v>14</v>
      </c>
      <c r="E913">
        <v>1</v>
      </c>
      <c r="F913">
        <v>3</v>
      </c>
      <c r="G913">
        <v>3</v>
      </c>
      <c r="H913">
        <v>70</v>
      </c>
      <c r="I913">
        <v>210</v>
      </c>
      <c r="J913">
        <v>31.5</v>
      </c>
      <c r="K913">
        <v>241.5</v>
      </c>
    </row>
    <row r="914" spans="1:11" x14ac:dyDescent="0.25">
      <c r="A914" s="1">
        <v>45852</v>
      </c>
      <c r="B914" t="s">
        <v>65</v>
      </c>
      <c r="C914" t="s">
        <v>91</v>
      </c>
      <c r="D914" t="s">
        <v>32</v>
      </c>
      <c r="E914">
        <v>5</v>
      </c>
      <c r="F914">
        <v>127</v>
      </c>
      <c r="G914">
        <v>127</v>
      </c>
      <c r="H914">
        <v>70</v>
      </c>
      <c r="I914">
        <v>8890</v>
      </c>
      <c r="J914">
        <v>1333.5</v>
      </c>
      <c r="K914">
        <v>10223.5</v>
      </c>
    </row>
    <row r="915" spans="1:11" x14ac:dyDescent="0.25">
      <c r="A915" s="1">
        <v>45852</v>
      </c>
      <c r="B915" t="s">
        <v>65</v>
      </c>
      <c r="C915" t="s">
        <v>91</v>
      </c>
      <c r="D915" t="s">
        <v>24</v>
      </c>
      <c r="E915">
        <v>8</v>
      </c>
      <c r="F915">
        <v>376</v>
      </c>
      <c r="G915">
        <v>376</v>
      </c>
      <c r="H915">
        <v>70</v>
      </c>
      <c r="I915">
        <v>26320</v>
      </c>
      <c r="J915">
        <v>3948</v>
      </c>
      <c r="K915">
        <v>30268</v>
      </c>
    </row>
    <row r="916" spans="1:11" x14ac:dyDescent="0.25">
      <c r="A916" s="1">
        <v>45852</v>
      </c>
      <c r="B916" t="s">
        <v>65</v>
      </c>
      <c r="C916" t="s">
        <v>91</v>
      </c>
      <c r="D916" t="s">
        <v>17</v>
      </c>
      <c r="E916">
        <v>5</v>
      </c>
      <c r="F916">
        <v>217</v>
      </c>
      <c r="G916">
        <v>217</v>
      </c>
      <c r="H916">
        <v>70</v>
      </c>
      <c r="I916">
        <v>15190</v>
      </c>
      <c r="J916">
        <v>2278.5</v>
      </c>
      <c r="K916">
        <v>17468.5</v>
      </c>
    </row>
    <row r="917" spans="1:11" x14ac:dyDescent="0.25">
      <c r="A917" s="1">
        <v>45838</v>
      </c>
      <c r="B917" t="s">
        <v>65</v>
      </c>
      <c r="C917" t="s">
        <v>47</v>
      </c>
      <c r="D917" t="s">
        <v>24</v>
      </c>
      <c r="E917">
        <v>5</v>
      </c>
      <c r="F917">
        <v>1177</v>
      </c>
      <c r="G917">
        <v>1177</v>
      </c>
      <c r="H917">
        <v>70</v>
      </c>
      <c r="I917">
        <v>82390</v>
      </c>
      <c r="J917">
        <v>12358.5</v>
      </c>
      <c r="K917">
        <v>94748.5</v>
      </c>
    </row>
    <row r="918" spans="1:11" x14ac:dyDescent="0.25">
      <c r="A918" s="1">
        <v>45852</v>
      </c>
      <c r="B918" t="s">
        <v>65</v>
      </c>
      <c r="C918" t="s">
        <v>51</v>
      </c>
      <c r="D918" t="s">
        <v>14</v>
      </c>
      <c r="E918">
        <v>2</v>
      </c>
      <c r="F918">
        <v>1000</v>
      </c>
      <c r="G918">
        <v>1000</v>
      </c>
      <c r="H918">
        <v>70</v>
      </c>
      <c r="I918">
        <v>70000</v>
      </c>
      <c r="J918">
        <v>10500</v>
      </c>
      <c r="K918">
        <v>80500</v>
      </c>
    </row>
    <row r="919" spans="1:11" x14ac:dyDescent="0.25">
      <c r="A919" s="1">
        <v>45852</v>
      </c>
      <c r="B919" t="s">
        <v>65</v>
      </c>
      <c r="C919" t="s">
        <v>91</v>
      </c>
      <c r="D919" t="s">
        <v>14</v>
      </c>
      <c r="E919">
        <v>4</v>
      </c>
      <c r="F919">
        <v>583</v>
      </c>
      <c r="G919">
        <v>583</v>
      </c>
      <c r="H919">
        <v>70</v>
      </c>
      <c r="I919">
        <v>40810</v>
      </c>
      <c r="J919">
        <v>6121.5</v>
      </c>
      <c r="K919">
        <v>46931.5</v>
      </c>
    </row>
    <row r="920" spans="1:11" x14ac:dyDescent="0.25">
      <c r="A920" s="1">
        <v>45852</v>
      </c>
      <c r="B920" t="s">
        <v>65</v>
      </c>
      <c r="C920" t="s">
        <v>91</v>
      </c>
      <c r="D920" t="s">
        <v>59</v>
      </c>
      <c r="E920">
        <v>1</v>
      </c>
      <c r="F920">
        <v>16</v>
      </c>
      <c r="G920">
        <v>800</v>
      </c>
      <c r="H920">
        <v>70</v>
      </c>
      <c r="I920">
        <v>56000</v>
      </c>
      <c r="J920">
        <v>8400</v>
      </c>
      <c r="K920">
        <v>64400</v>
      </c>
    </row>
    <row r="921" spans="1:11" x14ac:dyDescent="0.25">
      <c r="A921" s="1">
        <v>45852</v>
      </c>
      <c r="B921" t="s">
        <v>65</v>
      </c>
      <c r="C921" t="s">
        <v>106</v>
      </c>
      <c r="D921" t="s">
        <v>32</v>
      </c>
      <c r="E921">
        <v>6</v>
      </c>
      <c r="F921">
        <v>372</v>
      </c>
      <c r="G921">
        <v>372</v>
      </c>
      <c r="H921">
        <v>70</v>
      </c>
      <c r="I921">
        <v>26040</v>
      </c>
      <c r="J921">
        <v>3906</v>
      </c>
      <c r="K921">
        <v>29946</v>
      </c>
    </row>
    <row r="922" spans="1:11" x14ac:dyDescent="0.25">
      <c r="A922" s="1">
        <v>45852</v>
      </c>
      <c r="B922" t="s">
        <v>20</v>
      </c>
      <c r="C922" t="s">
        <v>48</v>
      </c>
      <c r="D922" t="s">
        <v>26</v>
      </c>
      <c r="E922">
        <v>4</v>
      </c>
      <c r="F922">
        <v>110</v>
      </c>
      <c r="G922">
        <v>110</v>
      </c>
      <c r="H922">
        <v>90</v>
      </c>
      <c r="I922">
        <v>9900</v>
      </c>
      <c r="J922">
        <v>1485</v>
      </c>
      <c r="K922">
        <v>11385</v>
      </c>
    </row>
    <row r="923" spans="1:11" x14ac:dyDescent="0.25">
      <c r="A923" s="1">
        <v>45852</v>
      </c>
      <c r="B923" t="s">
        <v>199</v>
      </c>
      <c r="C923" t="s">
        <v>64</v>
      </c>
      <c r="D923" t="s">
        <v>11</v>
      </c>
      <c r="E923">
        <v>1</v>
      </c>
      <c r="F923">
        <v>2</v>
      </c>
      <c r="G923">
        <v>1</v>
      </c>
      <c r="H923" s="2">
        <v>3000</v>
      </c>
      <c r="I923">
        <v>3000</v>
      </c>
      <c r="J923">
        <v>450</v>
      </c>
      <c r="K923">
        <v>3450</v>
      </c>
    </row>
    <row r="924" spans="1:11" x14ac:dyDescent="0.25">
      <c r="A924" s="1">
        <v>45852</v>
      </c>
      <c r="B924" t="s">
        <v>131</v>
      </c>
      <c r="C924" t="s">
        <v>29</v>
      </c>
      <c r="D924" t="s">
        <v>26</v>
      </c>
      <c r="E924">
        <v>5</v>
      </c>
      <c r="F924">
        <v>5</v>
      </c>
      <c r="G924">
        <v>5</v>
      </c>
      <c r="H924">
        <v>3000</v>
      </c>
      <c r="I924">
        <v>15000</v>
      </c>
      <c r="J924">
        <v>2250</v>
      </c>
      <c r="K924">
        <v>17250</v>
      </c>
    </row>
    <row r="925" spans="1:11" x14ac:dyDescent="0.25">
      <c r="A925" s="1">
        <v>45852</v>
      </c>
      <c r="B925" t="s">
        <v>36</v>
      </c>
      <c r="C925" t="s">
        <v>99</v>
      </c>
      <c r="D925" t="s">
        <v>24</v>
      </c>
      <c r="E925">
        <v>7</v>
      </c>
      <c r="F925">
        <v>5</v>
      </c>
      <c r="G925">
        <v>20</v>
      </c>
      <c r="H925">
        <v>2400</v>
      </c>
      <c r="I925">
        <v>48000</v>
      </c>
      <c r="J925">
        <v>7200</v>
      </c>
      <c r="K925">
        <v>55200</v>
      </c>
    </row>
    <row r="926" spans="1:11" x14ac:dyDescent="0.25">
      <c r="A926" s="1">
        <v>45852</v>
      </c>
      <c r="B926" t="s">
        <v>20</v>
      </c>
      <c r="C926" t="s">
        <v>160</v>
      </c>
      <c r="D926" t="s">
        <v>59</v>
      </c>
      <c r="E926">
        <v>5</v>
      </c>
      <c r="F926">
        <v>5</v>
      </c>
      <c r="G926">
        <v>500</v>
      </c>
      <c r="H926">
        <v>90</v>
      </c>
      <c r="I926">
        <v>45000</v>
      </c>
      <c r="J926">
        <v>6750</v>
      </c>
      <c r="K926">
        <v>51750</v>
      </c>
    </row>
    <row r="927" spans="1:11" x14ac:dyDescent="0.25">
      <c r="A927" s="1">
        <v>45838</v>
      </c>
      <c r="B927" t="s">
        <v>65</v>
      </c>
      <c r="C927" t="s">
        <v>51</v>
      </c>
      <c r="D927" t="s">
        <v>24</v>
      </c>
      <c r="E927">
        <v>5</v>
      </c>
      <c r="F927">
        <v>200</v>
      </c>
      <c r="G927">
        <v>200</v>
      </c>
      <c r="H927">
        <v>70</v>
      </c>
      <c r="I927">
        <v>14000</v>
      </c>
      <c r="J927">
        <v>2100</v>
      </c>
      <c r="K927">
        <v>16100</v>
      </c>
    </row>
    <row r="928" spans="1:11" x14ac:dyDescent="0.25">
      <c r="A928" s="1">
        <v>45852</v>
      </c>
      <c r="B928" t="s">
        <v>20</v>
      </c>
      <c r="C928" t="s">
        <v>48</v>
      </c>
      <c r="D928" t="s">
        <v>59</v>
      </c>
      <c r="E928">
        <v>2</v>
      </c>
      <c r="F928">
        <v>23</v>
      </c>
      <c r="G928">
        <v>170</v>
      </c>
      <c r="H928">
        <v>90</v>
      </c>
      <c r="I928">
        <v>15300</v>
      </c>
      <c r="J928">
        <v>2295</v>
      </c>
      <c r="K928">
        <v>17595</v>
      </c>
    </row>
    <row r="929" spans="1:11" x14ac:dyDescent="0.25">
      <c r="A929" s="1">
        <v>45852</v>
      </c>
      <c r="B929" t="s">
        <v>30</v>
      </c>
      <c r="C929" t="s">
        <v>81</v>
      </c>
      <c r="D929" t="s">
        <v>32</v>
      </c>
      <c r="E929">
        <v>7</v>
      </c>
      <c r="F929">
        <v>5</v>
      </c>
      <c r="G929">
        <v>1195</v>
      </c>
      <c r="H929">
        <v>70</v>
      </c>
      <c r="I929">
        <v>83650</v>
      </c>
      <c r="J929">
        <v>12547.5</v>
      </c>
      <c r="K929">
        <v>96197.5</v>
      </c>
    </row>
    <row r="930" spans="1:11" x14ac:dyDescent="0.25">
      <c r="A930" s="1">
        <v>45852</v>
      </c>
      <c r="B930" t="s">
        <v>12</v>
      </c>
      <c r="C930" t="s">
        <v>179</v>
      </c>
      <c r="D930" t="s">
        <v>17</v>
      </c>
      <c r="E930">
        <v>23</v>
      </c>
      <c r="F930">
        <v>35</v>
      </c>
      <c r="G930">
        <v>14.7</v>
      </c>
      <c r="H930">
        <v>20000</v>
      </c>
      <c r="I930">
        <v>294000</v>
      </c>
      <c r="J930">
        <v>44100</v>
      </c>
      <c r="K930">
        <v>338100</v>
      </c>
    </row>
    <row r="931" spans="1:11" x14ac:dyDescent="0.25">
      <c r="A931" s="1">
        <v>45852</v>
      </c>
      <c r="B931" t="s">
        <v>36</v>
      </c>
      <c r="C931" t="s">
        <v>51</v>
      </c>
      <c r="D931" t="s">
        <v>32</v>
      </c>
      <c r="E931">
        <v>10</v>
      </c>
      <c r="F931">
        <v>10</v>
      </c>
      <c r="G931">
        <v>15</v>
      </c>
      <c r="H931">
        <v>2400</v>
      </c>
      <c r="I931">
        <v>36000</v>
      </c>
      <c r="J931">
        <v>5400</v>
      </c>
      <c r="K931">
        <v>41400</v>
      </c>
    </row>
    <row r="932" spans="1:11" x14ac:dyDescent="0.25">
      <c r="A932" s="1">
        <v>45852</v>
      </c>
      <c r="B932" t="s">
        <v>20</v>
      </c>
      <c r="C932" t="s">
        <v>48</v>
      </c>
      <c r="D932" t="s">
        <v>24</v>
      </c>
      <c r="E932">
        <v>11</v>
      </c>
      <c r="F932">
        <v>108</v>
      </c>
      <c r="G932">
        <v>108</v>
      </c>
      <c r="H932">
        <v>90</v>
      </c>
      <c r="I932">
        <v>9720</v>
      </c>
      <c r="J932">
        <v>1458</v>
      </c>
      <c r="K932">
        <v>11178</v>
      </c>
    </row>
    <row r="933" spans="1:11" x14ac:dyDescent="0.25">
      <c r="A933" s="1">
        <v>45852</v>
      </c>
      <c r="B933" t="s">
        <v>44</v>
      </c>
      <c r="C933" t="s">
        <v>146</v>
      </c>
      <c r="D933" t="s">
        <v>88</v>
      </c>
      <c r="E933">
        <v>6</v>
      </c>
      <c r="F933">
        <v>100</v>
      </c>
      <c r="G933">
        <v>100</v>
      </c>
      <c r="H933">
        <v>70</v>
      </c>
      <c r="I933">
        <v>7000</v>
      </c>
      <c r="J933">
        <v>1050</v>
      </c>
      <c r="K933">
        <v>8050</v>
      </c>
    </row>
    <row r="934" spans="1:11" x14ac:dyDescent="0.25">
      <c r="A934" s="1">
        <v>45852</v>
      </c>
      <c r="B934" t="s">
        <v>65</v>
      </c>
      <c r="C934" t="s">
        <v>49</v>
      </c>
      <c r="D934" t="s">
        <v>32</v>
      </c>
      <c r="E934">
        <v>7</v>
      </c>
      <c r="F934">
        <v>678</v>
      </c>
      <c r="G934">
        <v>678</v>
      </c>
      <c r="H934">
        <v>70</v>
      </c>
      <c r="I934">
        <v>47460</v>
      </c>
      <c r="J934">
        <v>7119</v>
      </c>
      <c r="K934">
        <v>54579</v>
      </c>
    </row>
    <row r="935" spans="1:11" x14ac:dyDescent="0.25">
      <c r="A935" s="1">
        <v>45838</v>
      </c>
      <c r="B935" t="s">
        <v>65</v>
      </c>
      <c r="C935" t="s">
        <v>13</v>
      </c>
      <c r="D935" t="s">
        <v>24</v>
      </c>
      <c r="E935">
        <v>49</v>
      </c>
      <c r="F935">
        <v>669</v>
      </c>
      <c r="G935">
        <v>669</v>
      </c>
      <c r="H935">
        <v>70</v>
      </c>
      <c r="I935">
        <v>46830</v>
      </c>
      <c r="J935">
        <v>7024.5</v>
      </c>
      <c r="K935">
        <v>53854.5</v>
      </c>
    </row>
    <row r="936" spans="1:11" x14ac:dyDescent="0.25">
      <c r="A936" s="1">
        <v>45852</v>
      </c>
      <c r="B936" t="s">
        <v>65</v>
      </c>
      <c r="C936" t="s">
        <v>13</v>
      </c>
      <c r="D936" t="s">
        <v>17</v>
      </c>
      <c r="E936">
        <v>3</v>
      </c>
      <c r="F936">
        <v>9</v>
      </c>
      <c r="G936">
        <v>9</v>
      </c>
      <c r="H936">
        <v>70</v>
      </c>
      <c r="I936">
        <v>630</v>
      </c>
      <c r="J936">
        <v>94.5</v>
      </c>
      <c r="K936">
        <v>724.5</v>
      </c>
    </row>
    <row r="937" spans="1:11" x14ac:dyDescent="0.25">
      <c r="A937" s="1">
        <v>45852</v>
      </c>
      <c r="B937" t="s">
        <v>65</v>
      </c>
      <c r="C937" t="s">
        <v>49</v>
      </c>
      <c r="D937" t="s">
        <v>14</v>
      </c>
      <c r="E937">
        <v>3</v>
      </c>
      <c r="F937">
        <v>5</v>
      </c>
      <c r="G937">
        <v>1000</v>
      </c>
      <c r="H937">
        <v>70</v>
      </c>
      <c r="I937">
        <v>70000</v>
      </c>
      <c r="J937">
        <v>10500</v>
      </c>
      <c r="K937">
        <v>80500</v>
      </c>
    </row>
    <row r="938" spans="1:11" x14ac:dyDescent="0.25">
      <c r="A938" s="1">
        <v>45852</v>
      </c>
      <c r="B938" t="s">
        <v>65</v>
      </c>
      <c r="C938" t="s">
        <v>49</v>
      </c>
      <c r="D938" t="s">
        <v>59</v>
      </c>
      <c r="E938">
        <v>4</v>
      </c>
      <c r="F938">
        <v>2</v>
      </c>
      <c r="G938">
        <v>500</v>
      </c>
      <c r="H938">
        <v>70</v>
      </c>
      <c r="I938">
        <v>35000</v>
      </c>
      <c r="J938">
        <v>5250</v>
      </c>
      <c r="K938">
        <v>40250</v>
      </c>
    </row>
    <row r="939" spans="1:11" x14ac:dyDescent="0.25">
      <c r="A939" s="1">
        <v>45852</v>
      </c>
      <c r="B939" t="s">
        <v>65</v>
      </c>
      <c r="C939" t="s">
        <v>114</v>
      </c>
      <c r="D939" t="s">
        <v>14</v>
      </c>
      <c r="E939">
        <v>5</v>
      </c>
      <c r="F939">
        <v>13</v>
      </c>
      <c r="G939">
        <v>1000</v>
      </c>
      <c r="H939">
        <v>70</v>
      </c>
      <c r="I939">
        <v>70000</v>
      </c>
      <c r="J939">
        <v>10500</v>
      </c>
      <c r="K939">
        <v>80500</v>
      </c>
    </row>
    <row r="940" spans="1:11" x14ac:dyDescent="0.25">
      <c r="A940" s="1">
        <v>45852</v>
      </c>
      <c r="B940" t="s">
        <v>65</v>
      </c>
      <c r="C940" t="s">
        <v>160</v>
      </c>
      <c r="D940" t="s">
        <v>59</v>
      </c>
      <c r="E940">
        <v>6</v>
      </c>
      <c r="F940">
        <v>2</v>
      </c>
      <c r="G940">
        <v>500</v>
      </c>
      <c r="H940">
        <v>70</v>
      </c>
      <c r="I940">
        <v>35000</v>
      </c>
      <c r="J940">
        <v>5250</v>
      </c>
      <c r="K940">
        <v>40250</v>
      </c>
    </row>
    <row r="941" spans="1:11" x14ac:dyDescent="0.25">
      <c r="A941" s="1">
        <v>45852</v>
      </c>
      <c r="B941" t="s">
        <v>65</v>
      </c>
      <c r="C941" t="s">
        <v>114</v>
      </c>
      <c r="D941" t="s">
        <v>59</v>
      </c>
      <c r="E941">
        <v>4</v>
      </c>
      <c r="F941">
        <v>17</v>
      </c>
      <c r="G941">
        <v>726</v>
      </c>
      <c r="H941">
        <v>70</v>
      </c>
      <c r="I941">
        <v>50820</v>
      </c>
      <c r="J941">
        <v>7623</v>
      </c>
      <c r="K941">
        <v>58443</v>
      </c>
    </row>
    <row r="942" spans="1:11" x14ac:dyDescent="0.25">
      <c r="A942" s="1">
        <v>45852</v>
      </c>
      <c r="B942" t="s">
        <v>65</v>
      </c>
      <c r="C942" t="s">
        <v>109</v>
      </c>
      <c r="D942" t="s">
        <v>32</v>
      </c>
      <c r="E942">
        <v>7</v>
      </c>
      <c r="F942">
        <v>800</v>
      </c>
      <c r="G942">
        <v>800</v>
      </c>
      <c r="H942">
        <v>70</v>
      </c>
      <c r="I942">
        <v>56000</v>
      </c>
      <c r="J942">
        <v>8400</v>
      </c>
      <c r="K942">
        <v>64400</v>
      </c>
    </row>
    <row r="943" spans="1:11" x14ac:dyDescent="0.25">
      <c r="A943" s="1">
        <v>45836</v>
      </c>
      <c r="B943" t="s">
        <v>65</v>
      </c>
      <c r="C943" t="s">
        <v>69</v>
      </c>
      <c r="D943" t="s">
        <v>17</v>
      </c>
      <c r="E943">
        <v>5</v>
      </c>
      <c r="F943">
        <v>300</v>
      </c>
      <c r="G943">
        <v>300</v>
      </c>
      <c r="H943">
        <v>70</v>
      </c>
      <c r="I943">
        <v>21000</v>
      </c>
      <c r="J943">
        <v>3150</v>
      </c>
      <c r="K943">
        <v>24150</v>
      </c>
    </row>
    <row r="944" spans="1:11" x14ac:dyDescent="0.25">
      <c r="A944" s="1">
        <v>45852</v>
      </c>
      <c r="B944" t="s">
        <v>65</v>
      </c>
      <c r="C944" t="s">
        <v>109</v>
      </c>
      <c r="D944" t="s">
        <v>14</v>
      </c>
      <c r="E944">
        <v>7</v>
      </c>
      <c r="F944">
        <v>8</v>
      </c>
      <c r="G944">
        <v>1000</v>
      </c>
      <c r="H944">
        <v>70</v>
      </c>
      <c r="I944">
        <v>70000</v>
      </c>
      <c r="J944">
        <v>10500</v>
      </c>
      <c r="K944">
        <v>80500</v>
      </c>
    </row>
    <row r="945" spans="1:11" x14ac:dyDescent="0.25">
      <c r="A945" s="1">
        <v>45852</v>
      </c>
      <c r="B945" t="s">
        <v>65</v>
      </c>
      <c r="C945" t="s">
        <v>160</v>
      </c>
      <c r="D945" t="s">
        <v>14</v>
      </c>
      <c r="E945">
        <v>5</v>
      </c>
      <c r="F945">
        <v>11</v>
      </c>
      <c r="G945">
        <v>971</v>
      </c>
      <c r="H945">
        <v>70</v>
      </c>
      <c r="I945">
        <v>67970</v>
      </c>
      <c r="J945">
        <v>10195.5</v>
      </c>
      <c r="K945">
        <v>78165.5</v>
      </c>
    </row>
    <row r="946" spans="1:11" x14ac:dyDescent="0.25">
      <c r="A946" s="1">
        <v>45852</v>
      </c>
      <c r="B946" t="s">
        <v>65</v>
      </c>
      <c r="C946" t="s">
        <v>51</v>
      </c>
      <c r="D946" t="s">
        <v>59</v>
      </c>
      <c r="E946">
        <v>1</v>
      </c>
      <c r="F946">
        <v>10</v>
      </c>
      <c r="G946">
        <v>490</v>
      </c>
      <c r="H946">
        <v>70</v>
      </c>
      <c r="I946">
        <v>34300</v>
      </c>
      <c r="J946">
        <v>5145</v>
      </c>
      <c r="K946">
        <v>39445</v>
      </c>
    </row>
    <row r="947" spans="1:11" x14ac:dyDescent="0.25">
      <c r="A947" s="1">
        <v>45852</v>
      </c>
      <c r="B947" t="s">
        <v>65</v>
      </c>
      <c r="C947" t="s">
        <v>48</v>
      </c>
      <c r="D947" t="s">
        <v>14</v>
      </c>
      <c r="E947">
        <v>3</v>
      </c>
      <c r="F947">
        <v>1500</v>
      </c>
      <c r="G947">
        <v>1500</v>
      </c>
      <c r="H947">
        <v>70</v>
      </c>
      <c r="I947">
        <v>105000</v>
      </c>
      <c r="J947">
        <v>15750</v>
      </c>
      <c r="K947">
        <v>120750</v>
      </c>
    </row>
    <row r="948" spans="1:11" x14ac:dyDescent="0.25">
      <c r="A948" s="1">
        <v>45852</v>
      </c>
      <c r="B948" t="s">
        <v>65</v>
      </c>
      <c r="C948" t="s">
        <v>162</v>
      </c>
      <c r="D948" t="s">
        <v>14</v>
      </c>
      <c r="E948">
        <v>7</v>
      </c>
      <c r="F948">
        <v>500</v>
      </c>
      <c r="G948">
        <v>500</v>
      </c>
      <c r="H948">
        <v>70</v>
      </c>
      <c r="I948">
        <v>35000</v>
      </c>
      <c r="J948">
        <v>5250</v>
      </c>
      <c r="K948">
        <v>40250</v>
      </c>
    </row>
    <row r="949" spans="1:11" x14ac:dyDescent="0.25">
      <c r="A949" s="1">
        <v>45852</v>
      </c>
      <c r="B949" t="s">
        <v>65</v>
      </c>
      <c r="C949" t="s">
        <v>162</v>
      </c>
      <c r="D949" t="s">
        <v>59</v>
      </c>
      <c r="E949">
        <v>8</v>
      </c>
      <c r="F949">
        <v>600</v>
      </c>
      <c r="G949">
        <v>600</v>
      </c>
      <c r="H949">
        <v>70</v>
      </c>
      <c r="I949">
        <v>42000</v>
      </c>
      <c r="J949">
        <v>6300</v>
      </c>
      <c r="K949">
        <v>48300</v>
      </c>
    </row>
    <row r="950" spans="1:11" x14ac:dyDescent="0.25">
      <c r="A950" s="1">
        <v>45829</v>
      </c>
      <c r="B950" t="s">
        <v>65</v>
      </c>
      <c r="C950" t="s">
        <v>78</v>
      </c>
      <c r="D950" t="s">
        <v>24</v>
      </c>
      <c r="E950">
        <v>8</v>
      </c>
      <c r="F950">
        <v>500</v>
      </c>
      <c r="G950">
        <v>500</v>
      </c>
      <c r="H950">
        <v>70</v>
      </c>
      <c r="I950">
        <v>35000</v>
      </c>
      <c r="J950">
        <v>5250</v>
      </c>
      <c r="K950">
        <v>40250</v>
      </c>
    </row>
    <row r="951" spans="1:11" x14ac:dyDescent="0.25">
      <c r="A951" s="1">
        <v>45852</v>
      </c>
      <c r="B951" t="s">
        <v>65</v>
      </c>
      <c r="C951" t="s">
        <v>13</v>
      </c>
      <c r="D951" t="s">
        <v>14</v>
      </c>
      <c r="E951">
        <v>6</v>
      </c>
      <c r="F951">
        <v>288</v>
      </c>
      <c r="G951">
        <v>288</v>
      </c>
      <c r="H951">
        <v>70</v>
      </c>
      <c r="I951">
        <v>20160</v>
      </c>
      <c r="J951">
        <v>3024</v>
      </c>
      <c r="K951">
        <v>23184</v>
      </c>
    </row>
    <row r="952" spans="1:11" x14ac:dyDescent="0.25">
      <c r="A952" s="1">
        <v>45829</v>
      </c>
      <c r="B952" t="s">
        <v>65</v>
      </c>
      <c r="C952" t="s">
        <v>78</v>
      </c>
      <c r="D952" t="s">
        <v>17</v>
      </c>
      <c r="E952">
        <v>9</v>
      </c>
      <c r="F952">
        <v>1160</v>
      </c>
      <c r="G952">
        <v>1160</v>
      </c>
      <c r="H952">
        <v>70</v>
      </c>
      <c r="I952">
        <v>81200</v>
      </c>
      <c r="J952">
        <v>12180</v>
      </c>
      <c r="K952">
        <v>93380</v>
      </c>
    </row>
    <row r="953" spans="1:11" x14ac:dyDescent="0.25">
      <c r="A953" s="1">
        <v>45852</v>
      </c>
      <c r="B953" t="s">
        <v>12</v>
      </c>
      <c r="C953" t="s">
        <v>218</v>
      </c>
      <c r="D953" t="s">
        <v>17</v>
      </c>
      <c r="E953">
        <v>2</v>
      </c>
      <c r="F953">
        <v>5</v>
      </c>
      <c r="G953">
        <v>13.29</v>
      </c>
      <c r="H953">
        <v>10000</v>
      </c>
      <c r="I953">
        <v>132900</v>
      </c>
      <c r="J953">
        <v>19935</v>
      </c>
      <c r="K953">
        <v>152835</v>
      </c>
    </row>
    <row r="954" spans="1:11" x14ac:dyDescent="0.25">
      <c r="A954" s="1">
        <v>45852</v>
      </c>
      <c r="B954" t="s">
        <v>65</v>
      </c>
      <c r="C954" t="s">
        <v>143</v>
      </c>
      <c r="D954" t="s">
        <v>14</v>
      </c>
      <c r="E954">
        <v>8</v>
      </c>
      <c r="F954">
        <v>10</v>
      </c>
      <c r="G954">
        <v>787</v>
      </c>
      <c r="H954">
        <v>70</v>
      </c>
      <c r="I954">
        <v>55090</v>
      </c>
      <c r="J954">
        <v>8263.5</v>
      </c>
      <c r="K954">
        <v>63353.5</v>
      </c>
    </row>
    <row r="955" spans="1:11" x14ac:dyDescent="0.25">
      <c r="A955" s="1">
        <v>45852</v>
      </c>
      <c r="B955" t="s">
        <v>36</v>
      </c>
      <c r="C955" t="s">
        <v>21</v>
      </c>
      <c r="D955" t="s">
        <v>19</v>
      </c>
      <c r="E955">
        <v>3</v>
      </c>
      <c r="F955">
        <v>3</v>
      </c>
      <c r="G955">
        <v>20.36</v>
      </c>
      <c r="H955">
        <v>2400</v>
      </c>
      <c r="I955">
        <v>48864</v>
      </c>
      <c r="J955">
        <v>7329.6</v>
      </c>
      <c r="K955">
        <v>56193.599999999999</v>
      </c>
    </row>
    <row r="956" spans="1:11" x14ac:dyDescent="0.25">
      <c r="A956" s="1">
        <v>45852</v>
      </c>
      <c r="B956" t="s">
        <v>65</v>
      </c>
      <c r="C956" t="s">
        <v>143</v>
      </c>
      <c r="D956" t="s">
        <v>59</v>
      </c>
      <c r="E956">
        <v>7</v>
      </c>
      <c r="F956">
        <v>14</v>
      </c>
      <c r="G956">
        <v>852</v>
      </c>
      <c r="H956">
        <v>70</v>
      </c>
      <c r="I956">
        <v>59640</v>
      </c>
      <c r="J956">
        <v>8946</v>
      </c>
      <c r="K956">
        <v>68586</v>
      </c>
    </row>
    <row r="957" spans="1:11" x14ac:dyDescent="0.25">
      <c r="A957" s="1">
        <v>45852</v>
      </c>
      <c r="B957" t="s">
        <v>199</v>
      </c>
      <c r="C957" t="s">
        <v>115</v>
      </c>
      <c r="D957" t="s">
        <v>11</v>
      </c>
      <c r="E957">
        <v>1</v>
      </c>
      <c r="F957">
        <v>1</v>
      </c>
      <c r="G957">
        <v>1</v>
      </c>
      <c r="H957" s="2">
        <v>3000</v>
      </c>
      <c r="I957">
        <v>3000</v>
      </c>
      <c r="J957">
        <v>450</v>
      </c>
      <c r="K957">
        <v>3450</v>
      </c>
    </row>
    <row r="958" spans="1:11" x14ac:dyDescent="0.25">
      <c r="A958" s="1">
        <v>45852</v>
      </c>
      <c r="B958" t="s">
        <v>36</v>
      </c>
      <c r="C958" t="s">
        <v>181</v>
      </c>
      <c r="D958" t="s">
        <v>17</v>
      </c>
      <c r="E958">
        <v>7</v>
      </c>
      <c r="F958">
        <v>10</v>
      </c>
      <c r="G958">
        <v>20</v>
      </c>
      <c r="H958">
        <v>2400</v>
      </c>
      <c r="I958">
        <v>48000</v>
      </c>
      <c r="J958">
        <v>7200</v>
      </c>
      <c r="K958">
        <v>55200</v>
      </c>
    </row>
    <row r="959" spans="1:11" x14ac:dyDescent="0.25">
      <c r="A959" s="1">
        <v>45853</v>
      </c>
      <c r="B959" t="s">
        <v>199</v>
      </c>
      <c r="C959" t="s">
        <v>93</v>
      </c>
      <c r="D959" t="s">
        <v>11</v>
      </c>
      <c r="E959">
        <v>1</v>
      </c>
      <c r="F959">
        <v>1</v>
      </c>
      <c r="G959">
        <v>1</v>
      </c>
      <c r="H959" s="2">
        <v>3000</v>
      </c>
      <c r="I959">
        <v>3000</v>
      </c>
      <c r="J959">
        <v>450</v>
      </c>
      <c r="K959">
        <v>3450</v>
      </c>
    </row>
    <row r="960" spans="1:11" x14ac:dyDescent="0.25">
      <c r="A960" s="1">
        <v>45854</v>
      </c>
      <c r="B960" t="s">
        <v>199</v>
      </c>
      <c r="C960" t="s">
        <v>181</v>
      </c>
      <c r="D960" t="s">
        <v>11</v>
      </c>
      <c r="E960">
        <v>1</v>
      </c>
      <c r="F960">
        <v>1</v>
      </c>
      <c r="G960">
        <v>1</v>
      </c>
      <c r="H960" s="2">
        <v>3000</v>
      </c>
      <c r="I960">
        <v>3000</v>
      </c>
      <c r="J960">
        <v>450</v>
      </c>
      <c r="K960">
        <v>3450</v>
      </c>
    </row>
    <row r="961" spans="1:11" x14ac:dyDescent="0.25">
      <c r="A961" s="1">
        <v>45852</v>
      </c>
      <c r="B961" t="s">
        <v>122</v>
      </c>
      <c r="C961" t="s">
        <v>25</v>
      </c>
      <c r="D961" t="s">
        <v>24</v>
      </c>
      <c r="E961">
        <v>8</v>
      </c>
      <c r="F961">
        <v>12</v>
      </c>
      <c r="G961">
        <v>12</v>
      </c>
      <c r="H961">
        <v>90</v>
      </c>
      <c r="I961">
        <v>1080</v>
      </c>
      <c r="J961">
        <v>162</v>
      </c>
      <c r="K961">
        <v>1242</v>
      </c>
    </row>
    <row r="962" spans="1:11" x14ac:dyDescent="0.25">
      <c r="A962" s="1">
        <v>45855</v>
      </c>
      <c r="B962" t="s">
        <v>199</v>
      </c>
      <c r="C962" t="s">
        <v>145</v>
      </c>
      <c r="D962" t="s">
        <v>11</v>
      </c>
      <c r="E962">
        <v>2</v>
      </c>
      <c r="F962">
        <v>1</v>
      </c>
      <c r="G962">
        <v>2</v>
      </c>
      <c r="H962" s="2">
        <v>3000</v>
      </c>
      <c r="I962">
        <v>6000</v>
      </c>
      <c r="J962">
        <v>900</v>
      </c>
      <c r="K962">
        <v>6900</v>
      </c>
    </row>
    <row r="963" spans="1:11" x14ac:dyDescent="0.25">
      <c r="A963" s="1">
        <v>45853</v>
      </c>
      <c r="B963" t="s">
        <v>44</v>
      </c>
      <c r="C963" t="s">
        <v>41</v>
      </c>
      <c r="D963" t="s">
        <v>63</v>
      </c>
      <c r="E963">
        <v>9</v>
      </c>
      <c r="F963">
        <v>120</v>
      </c>
      <c r="G963">
        <v>120</v>
      </c>
      <c r="H963">
        <v>70</v>
      </c>
      <c r="I963">
        <v>8400</v>
      </c>
      <c r="J963">
        <v>1260</v>
      </c>
      <c r="K963">
        <v>9660</v>
      </c>
    </row>
    <row r="964" spans="1:11" x14ac:dyDescent="0.25">
      <c r="A964" s="1">
        <v>45857</v>
      </c>
      <c r="B964" t="s">
        <v>199</v>
      </c>
      <c r="C964" t="s">
        <v>93</v>
      </c>
      <c r="D964" t="s">
        <v>11</v>
      </c>
      <c r="E964">
        <v>11</v>
      </c>
      <c r="F964">
        <v>1</v>
      </c>
      <c r="G964">
        <v>11</v>
      </c>
      <c r="H964" s="2">
        <v>3000</v>
      </c>
      <c r="I964">
        <v>33000</v>
      </c>
      <c r="J964">
        <v>4950</v>
      </c>
      <c r="K964">
        <v>37950</v>
      </c>
    </row>
    <row r="965" spans="1:11" x14ac:dyDescent="0.25">
      <c r="A965" s="1">
        <v>45853</v>
      </c>
      <c r="B965" t="s">
        <v>20</v>
      </c>
      <c r="C965" t="s">
        <v>99</v>
      </c>
      <c r="D965" t="s">
        <v>24</v>
      </c>
      <c r="E965">
        <v>7</v>
      </c>
      <c r="F965">
        <v>570</v>
      </c>
      <c r="G965">
        <v>570</v>
      </c>
      <c r="H965">
        <v>90</v>
      </c>
      <c r="I965">
        <v>51300</v>
      </c>
      <c r="J965">
        <v>7695</v>
      </c>
      <c r="K965">
        <v>58995</v>
      </c>
    </row>
    <row r="966" spans="1:11" x14ac:dyDescent="0.25">
      <c r="A966" s="1">
        <v>45829</v>
      </c>
      <c r="B966" t="s">
        <v>20</v>
      </c>
      <c r="C966" t="s">
        <v>23</v>
      </c>
      <c r="D966" t="s">
        <v>19</v>
      </c>
      <c r="E966">
        <v>8</v>
      </c>
      <c r="F966">
        <v>408</v>
      </c>
      <c r="G966">
        <v>403</v>
      </c>
      <c r="H966">
        <v>90</v>
      </c>
      <c r="I966">
        <v>36270</v>
      </c>
      <c r="J966">
        <v>5440.5</v>
      </c>
      <c r="K966">
        <v>41710.5</v>
      </c>
    </row>
    <row r="967" spans="1:11" x14ac:dyDescent="0.25">
      <c r="A967" s="1">
        <v>45853</v>
      </c>
      <c r="B967" t="s">
        <v>20</v>
      </c>
      <c r="C967" t="s">
        <v>13</v>
      </c>
      <c r="D967" t="s">
        <v>17</v>
      </c>
      <c r="E967">
        <v>15</v>
      </c>
      <c r="F967">
        <v>635</v>
      </c>
      <c r="G967">
        <v>635</v>
      </c>
      <c r="H967">
        <v>90</v>
      </c>
      <c r="I967">
        <v>57150</v>
      </c>
      <c r="J967">
        <v>8572.5</v>
      </c>
      <c r="K967">
        <v>65722.5</v>
      </c>
    </row>
    <row r="968" spans="1:11" x14ac:dyDescent="0.25">
      <c r="A968" s="1">
        <v>45853</v>
      </c>
      <c r="B968" t="s">
        <v>20</v>
      </c>
      <c r="C968" t="s">
        <v>50</v>
      </c>
      <c r="D968" t="s">
        <v>24</v>
      </c>
      <c r="E968">
        <v>11</v>
      </c>
      <c r="F968">
        <v>254</v>
      </c>
      <c r="G968">
        <v>254</v>
      </c>
      <c r="H968">
        <v>90</v>
      </c>
      <c r="I968">
        <v>22860</v>
      </c>
      <c r="J968">
        <v>3429</v>
      </c>
      <c r="K968">
        <v>26289</v>
      </c>
    </row>
    <row r="969" spans="1:11" x14ac:dyDescent="0.25">
      <c r="A969" s="1">
        <v>45853</v>
      </c>
      <c r="B969" t="s">
        <v>20</v>
      </c>
      <c r="C969" t="s">
        <v>121</v>
      </c>
      <c r="D969" t="s">
        <v>17</v>
      </c>
      <c r="E969">
        <v>10</v>
      </c>
      <c r="F969">
        <v>227</v>
      </c>
      <c r="G969">
        <v>227</v>
      </c>
      <c r="H969">
        <v>90</v>
      </c>
      <c r="I969">
        <v>20430</v>
      </c>
      <c r="J969">
        <v>3064.5</v>
      </c>
      <c r="K969">
        <v>23494.5</v>
      </c>
    </row>
    <row r="970" spans="1:11" x14ac:dyDescent="0.25">
      <c r="A970" s="1">
        <v>45853</v>
      </c>
      <c r="B970" t="s">
        <v>20</v>
      </c>
      <c r="C970" t="s">
        <v>13</v>
      </c>
      <c r="D970" t="s">
        <v>26</v>
      </c>
      <c r="E970">
        <v>5</v>
      </c>
      <c r="F970">
        <v>110</v>
      </c>
      <c r="G970">
        <v>110</v>
      </c>
      <c r="H970">
        <v>90</v>
      </c>
      <c r="I970">
        <v>9900</v>
      </c>
      <c r="J970">
        <v>1485</v>
      </c>
      <c r="K970">
        <v>11385</v>
      </c>
    </row>
    <row r="971" spans="1:11" x14ac:dyDescent="0.25">
      <c r="A971" s="1">
        <v>45853</v>
      </c>
      <c r="B971" t="s">
        <v>20</v>
      </c>
      <c r="C971" t="s">
        <v>66</v>
      </c>
      <c r="D971" t="s">
        <v>17</v>
      </c>
      <c r="E971">
        <v>2</v>
      </c>
      <c r="F971">
        <v>82</v>
      </c>
      <c r="G971">
        <v>82</v>
      </c>
      <c r="H971">
        <v>90</v>
      </c>
      <c r="I971">
        <v>7380</v>
      </c>
      <c r="J971">
        <v>1107</v>
      </c>
      <c r="K971">
        <v>8487</v>
      </c>
    </row>
    <row r="972" spans="1:11" x14ac:dyDescent="0.25">
      <c r="A972" s="1">
        <v>45853</v>
      </c>
      <c r="B972" t="s">
        <v>36</v>
      </c>
      <c r="C972" t="s">
        <v>49</v>
      </c>
      <c r="D972" t="s">
        <v>32</v>
      </c>
      <c r="E972">
        <v>10</v>
      </c>
      <c r="F972">
        <v>4</v>
      </c>
      <c r="G972">
        <v>15.14</v>
      </c>
      <c r="H972">
        <v>2400</v>
      </c>
      <c r="I972">
        <v>36336</v>
      </c>
      <c r="J972">
        <v>5450.4</v>
      </c>
      <c r="K972">
        <v>41786.400000000001</v>
      </c>
    </row>
    <row r="973" spans="1:11" x14ac:dyDescent="0.25">
      <c r="A973" s="1">
        <v>45853</v>
      </c>
      <c r="B973" t="s">
        <v>36</v>
      </c>
      <c r="C973" t="s">
        <v>94</v>
      </c>
      <c r="D973" t="s">
        <v>17</v>
      </c>
      <c r="E973">
        <v>13</v>
      </c>
      <c r="F973">
        <v>11</v>
      </c>
      <c r="G973">
        <v>20.7</v>
      </c>
      <c r="H973">
        <v>2400</v>
      </c>
      <c r="I973">
        <v>49680</v>
      </c>
      <c r="J973">
        <v>7452</v>
      </c>
      <c r="K973">
        <v>57132</v>
      </c>
    </row>
    <row r="974" spans="1:11" x14ac:dyDescent="0.25">
      <c r="A974" s="1">
        <v>45853</v>
      </c>
      <c r="B974" t="s">
        <v>36</v>
      </c>
      <c r="C974" t="s">
        <v>171</v>
      </c>
      <c r="D974" t="s">
        <v>19</v>
      </c>
      <c r="E974">
        <v>5</v>
      </c>
      <c r="F974">
        <v>5</v>
      </c>
      <c r="G974">
        <v>9</v>
      </c>
      <c r="H974">
        <v>2400</v>
      </c>
      <c r="I974">
        <v>21600</v>
      </c>
      <c r="J974">
        <v>3240</v>
      </c>
      <c r="K974">
        <v>24840</v>
      </c>
    </row>
    <row r="975" spans="1:11" x14ac:dyDescent="0.25">
      <c r="A975" s="1">
        <v>45853</v>
      </c>
      <c r="B975" t="s">
        <v>36</v>
      </c>
      <c r="C975" t="s">
        <v>180</v>
      </c>
      <c r="D975" t="s">
        <v>24</v>
      </c>
      <c r="E975">
        <v>7</v>
      </c>
      <c r="F975">
        <v>5</v>
      </c>
      <c r="G975">
        <v>20</v>
      </c>
      <c r="H975">
        <v>2400</v>
      </c>
      <c r="I975">
        <v>48000</v>
      </c>
      <c r="J975">
        <v>7200</v>
      </c>
      <c r="K975">
        <v>55200</v>
      </c>
    </row>
    <row r="976" spans="1:11" x14ac:dyDescent="0.25">
      <c r="A976" s="1">
        <v>45852</v>
      </c>
      <c r="B976" t="s">
        <v>42</v>
      </c>
      <c r="C976" t="s">
        <v>28</v>
      </c>
      <c r="D976" t="s">
        <v>19</v>
      </c>
      <c r="E976">
        <v>12</v>
      </c>
      <c r="F976">
        <v>194</v>
      </c>
      <c r="G976">
        <v>194</v>
      </c>
      <c r="H976">
        <v>70</v>
      </c>
      <c r="I976">
        <v>13580</v>
      </c>
      <c r="J976">
        <v>2037</v>
      </c>
      <c r="K976">
        <v>15617</v>
      </c>
    </row>
    <row r="977" spans="1:11" x14ac:dyDescent="0.25">
      <c r="A977" s="1">
        <v>45853</v>
      </c>
      <c r="B977" t="s">
        <v>42</v>
      </c>
      <c r="C977" t="s">
        <v>143</v>
      </c>
      <c r="D977" t="s">
        <v>17</v>
      </c>
      <c r="E977">
        <v>10</v>
      </c>
      <c r="F977">
        <v>1011</v>
      </c>
      <c r="G977">
        <v>1011</v>
      </c>
      <c r="H977">
        <v>70</v>
      </c>
      <c r="I977">
        <v>70770</v>
      </c>
      <c r="J977">
        <v>10615.5</v>
      </c>
      <c r="K977">
        <v>81385.5</v>
      </c>
    </row>
    <row r="978" spans="1:11" x14ac:dyDescent="0.25">
      <c r="A978" s="1">
        <v>45853</v>
      </c>
      <c r="B978" t="s">
        <v>70</v>
      </c>
      <c r="C978" t="s">
        <v>166</v>
      </c>
      <c r="D978" t="s">
        <v>26</v>
      </c>
      <c r="E978">
        <v>7</v>
      </c>
      <c r="F978">
        <v>2406</v>
      </c>
      <c r="G978">
        <v>2406</v>
      </c>
      <c r="H978">
        <v>90</v>
      </c>
      <c r="I978">
        <v>216540</v>
      </c>
      <c r="J978">
        <v>32481</v>
      </c>
      <c r="K978">
        <v>249021</v>
      </c>
    </row>
    <row r="979" spans="1:11" x14ac:dyDescent="0.25">
      <c r="A979" s="1">
        <v>45853</v>
      </c>
      <c r="B979" t="s">
        <v>70</v>
      </c>
      <c r="C979" t="s">
        <v>156</v>
      </c>
      <c r="D979" t="s">
        <v>26</v>
      </c>
      <c r="E979">
        <v>4</v>
      </c>
      <c r="F979">
        <v>2969</v>
      </c>
      <c r="G979">
        <v>2969</v>
      </c>
      <c r="H979">
        <v>90</v>
      </c>
      <c r="I979">
        <v>267210</v>
      </c>
      <c r="J979">
        <v>40081.5</v>
      </c>
      <c r="K979">
        <v>307291.5</v>
      </c>
    </row>
    <row r="980" spans="1:11" x14ac:dyDescent="0.25">
      <c r="A980" s="1">
        <v>45853</v>
      </c>
      <c r="B980" t="s">
        <v>70</v>
      </c>
      <c r="C980" t="s">
        <v>16</v>
      </c>
      <c r="D980" t="s">
        <v>27</v>
      </c>
      <c r="E980">
        <v>4</v>
      </c>
      <c r="F980">
        <v>2880</v>
      </c>
      <c r="G980">
        <v>2880</v>
      </c>
      <c r="H980">
        <v>90</v>
      </c>
      <c r="I980">
        <v>259200</v>
      </c>
      <c r="J980">
        <v>38880</v>
      </c>
      <c r="K980">
        <v>298080</v>
      </c>
    </row>
    <row r="981" spans="1:11" x14ac:dyDescent="0.25">
      <c r="A981" s="1">
        <v>45853</v>
      </c>
      <c r="B981" t="s">
        <v>144</v>
      </c>
      <c r="C981" t="s">
        <v>64</v>
      </c>
      <c r="D981" t="s">
        <v>32</v>
      </c>
      <c r="E981">
        <v>51</v>
      </c>
      <c r="F981">
        <v>1000</v>
      </c>
      <c r="G981">
        <v>1000</v>
      </c>
      <c r="H981">
        <v>100</v>
      </c>
      <c r="I981">
        <v>100000</v>
      </c>
      <c r="J981">
        <v>15000</v>
      </c>
      <c r="K981">
        <v>115000</v>
      </c>
    </row>
    <row r="982" spans="1:11" x14ac:dyDescent="0.25">
      <c r="A982" s="1">
        <v>45853</v>
      </c>
      <c r="B982" t="s">
        <v>122</v>
      </c>
      <c r="C982" t="s">
        <v>96</v>
      </c>
      <c r="D982" t="s">
        <v>24</v>
      </c>
      <c r="E982">
        <v>6</v>
      </c>
      <c r="F982">
        <v>301</v>
      </c>
      <c r="G982">
        <v>301</v>
      </c>
      <c r="H982">
        <v>90</v>
      </c>
      <c r="I982">
        <v>27090</v>
      </c>
      <c r="J982">
        <v>4063.5</v>
      </c>
      <c r="K982">
        <v>31153.5</v>
      </c>
    </row>
    <row r="983" spans="1:11" x14ac:dyDescent="0.25">
      <c r="A983" s="1">
        <v>45853</v>
      </c>
      <c r="B983" t="s">
        <v>30</v>
      </c>
      <c r="C983" t="s">
        <v>37</v>
      </c>
      <c r="D983" t="s">
        <v>32</v>
      </c>
      <c r="E983">
        <v>5</v>
      </c>
      <c r="F983">
        <v>56</v>
      </c>
      <c r="G983">
        <v>2486</v>
      </c>
      <c r="H983">
        <v>70</v>
      </c>
      <c r="I983">
        <v>174020</v>
      </c>
      <c r="J983">
        <v>26103</v>
      </c>
      <c r="K983">
        <v>200123</v>
      </c>
    </row>
    <row r="984" spans="1:11" x14ac:dyDescent="0.25">
      <c r="A984" s="1">
        <v>45853</v>
      </c>
      <c r="B984" t="s">
        <v>44</v>
      </c>
      <c r="C984" t="s">
        <v>35</v>
      </c>
      <c r="D984" t="s">
        <v>88</v>
      </c>
      <c r="E984">
        <v>2</v>
      </c>
      <c r="F984">
        <v>44</v>
      </c>
      <c r="G984">
        <v>44</v>
      </c>
      <c r="H984">
        <v>70</v>
      </c>
      <c r="I984">
        <v>3080</v>
      </c>
      <c r="J984">
        <v>462</v>
      </c>
      <c r="K984">
        <v>3542</v>
      </c>
    </row>
    <row r="985" spans="1:11" x14ac:dyDescent="0.25">
      <c r="A985" s="1">
        <v>45853</v>
      </c>
      <c r="B985" t="s">
        <v>65</v>
      </c>
      <c r="C985" t="s">
        <v>13</v>
      </c>
      <c r="D985" t="s">
        <v>59</v>
      </c>
      <c r="E985">
        <v>5</v>
      </c>
      <c r="F985">
        <v>640</v>
      </c>
      <c r="G985">
        <v>640</v>
      </c>
      <c r="H985">
        <v>70</v>
      </c>
      <c r="I985">
        <v>44800</v>
      </c>
      <c r="J985">
        <v>6720</v>
      </c>
      <c r="K985">
        <v>51520</v>
      </c>
    </row>
    <row r="986" spans="1:11" x14ac:dyDescent="0.25">
      <c r="A986" s="1">
        <v>45829</v>
      </c>
      <c r="B986" t="s">
        <v>65</v>
      </c>
      <c r="C986" t="s">
        <v>69</v>
      </c>
      <c r="D986" t="s">
        <v>24</v>
      </c>
      <c r="E986">
        <v>8</v>
      </c>
      <c r="F986">
        <v>500</v>
      </c>
      <c r="G986">
        <v>500</v>
      </c>
      <c r="H986">
        <v>70</v>
      </c>
      <c r="I986">
        <v>35000</v>
      </c>
      <c r="J986">
        <v>5250</v>
      </c>
      <c r="K986">
        <v>40250</v>
      </c>
    </row>
    <row r="987" spans="1:11" x14ac:dyDescent="0.25">
      <c r="A987" s="1">
        <v>45829</v>
      </c>
      <c r="B987" t="s">
        <v>65</v>
      </c>
      <c r="C987" t="s">
        <v>96</v>
      </c>
      <c r="D987" t="s">
        <v>24</v>
      </c>
      <c r="E987">
        <v>8</v>
      </c>
      <c r="F987">
        <v>643</v>
      </c>
      <c r="G987">
        <v>643</v>
      </c>
      <c r="H987">
        <v>70</v>
      </c>
      <c r="I987">
        <v>45010</v>
      </c>
      <c r="J987">
        <v>6751.5</v>
      </c>
      <c r="K987">
        <v>51761.5</v>
      </c>
    </row>
    <row r="988" spans="1:11" x14ac:dyDescent="0.25">
      <c r="A988" s="1">
        <v>45829</v>
      </c>
      <c r="B988" t="s">
        <v>65</v>
      </c>
      <c r="C988" t="s">
        <v>136</v>
      </c>
      <c r="D988" t="s">
        <v>24</v>
      </c>
      <c r="E988">
        <v>10</v>
      </c>
      <c r="F988">
        <v>266</v>
      </c>
      <c r="G988">
        <v>387</v>
      </c>
      <c r="H988">
        <v>70</v>
      </c>
      <c r="I988">
        <v>27090</v>
      </c>
      <c r="J988">
        <v>4063.5</v>
      </c>
      <c r="K988">
        <v>31153.5</v>
      </c>
    </row>
    <row r="989" spans="1:11" x14ac:dyDescent="0.25">
      <c r="A989" s="1">
        <v>45853</v>
      </c>
      <c r="B989" t="s">
        <v>65</v>
      </c>
      <c r="C989" t="s">
        <v>126</v>
      </c>
      <c r="D989" t="s">
        <v>14</v>
      </c>
      <c r="E989">
        <v>11</v>
      </c>
      <c r="F989">
        <v>69</v>
      </c>
      <c r="G989">
        <v>69</v>
      </c>
      <c r="H989">
        <v>70</v>
      </c>
      <c r="I989">
        <v>4830</v>
      </c>
      <c r="J989">
        <v>724.5</v>
      </c>
      <c r="K989">
        <v>5554.5</v>
      </c>
    </row>
    <row r="990" spans="1:11" x14ac:dyDescent="0.25">
      <c r="A990" s="1">
        <v>45853</v>
      </c>
      <c r="B990" t="s">
        <v>65</v>
      </c>
      <c r="C990" t="s">
        <v>126</v>
      </c>
      <c r="D990" t="s">
        <v>32</v>
      </c>
      <c r="E990">
        <v>6</v>
      </c>
      <c r="F990">
        <v>895</v>
      </c>
      <c r="G990">
        <v>895</v>
      </c>
      <c r="H990">
        <v>70</v>
      </c>
      <c r="I990">
        <v>62650</v>
      </c>
      <c r="J990">
        <v>9397.5</v>
      </c>
      <c r="K990">
        <v>72047.5</v>
      </c>
    </row>
    <row r="991" spans="1:11" x14ac:dyDescent="0.25">
      <c r="A991" s="1">
        <v>45853</v>
      </c>
      <c r="B991" t="s">
        <v>65</v>
      </c>
      <c r="C991" t="s">
        <v>104</v>
      </c>
      <c r="D991" t="s">
        <v>14</v>
      </c>
      <c r="E991">
        <v>10</v>
      </c>
      <c r="F991">
        <v>1618</v>
      </c>
      <c r="G991">
        <v>1618</v>
      </c>
      <c r="H991">
        <v>70</v>
      </c>
      <c r="I991">
        <v>113260</v>
      </c>
      <c r="J991">
        <v>16989</v>
      </c>
      <c r="K991">
        <v>130249</v>
      </c>
    </row>
    <row r="992" spans="1:11" x14ac:dyDescent="0.25">
      <c r="A992" s="1">
        <v>45853</v>
      </c>
      <c r="B992" t="s">
        <v>65</v>
      </c>
      <c r="C992" t="s">
        <v>104</v>
      </c>
      <c r="D992" t="s">
        <v>59</v>
      </c>
      <c r="E992">
        <v>4</v>
      </c>
      <c r="F992">
        <v>614</v>
      </c>
      <c r="G992">
        <v>748</v>
      </c>
      <c r="H992">
        <v>70</v>
      </c>
      <c r="I992">
        <v>52360</v>
      </c>
      <c r="J992">
        <v>7854</v>
      </c>
      <c r="K992">
        <v>60214</v>
      </c>
    </row>
    <row r="993" spans="1:11" x14ac:dyDescent="0.25">
      <c r="A993" s="1">
        <v>45852</v>
      </c>
      <c r="B993" t="s">
        <v>219</v>
      </c>
      <c r="C993" t="s">
        <v>115</v>
      </c>
      <c r="D993" t="s">
        <v>11</v>
      </c>
      <c r="E993">
        <v>3</v>
      </c>
      <c r="F993">
        <v>1</v>
      </c>
      <c r="G993">
        <v>3</v>
      </c>
      <c r="H993" s="2">
        <v>3000</v>
      </c>
      <c r="I993">
        <v>9000</v>
      </c>
      <c r="J993">
        <v>1350</v>
      </c>
      <c r="K993">
        <v>10350</v>
      </c>
    </row>
    <row r="994" spans="1:11" x14ac:dyDescent="0.25">
      <c r="A994" s="1">
        <v>45854</v>
      </c>
      <c r="B994" t="s">
        <v>168</v>
      </c>
      <c r="C994" t="s">
        <v>38</v>
      </c>
      <c r="D994" t="s">
        <v>19</v>
      </c>
      <c r="E994">
        <v>4</v>
      </c>
      <c r="F994">
        <v>1</v>
      </c>
      <c r="G994">
        <v>22.49</v>
      </c>
      <c r="H994">
        <v>3500</v>
      </c>
      <c r="I994">
        <v>78715</v>
      </c>
      <c r="J994">
        <v>11807.25</v>
      </c>
      <c r="K994">
        <v>90522.25</v>
      </c>
    </row>
    <row r="995" spans="1:11" x14ac:dyDescent="0.25">
      <c r="A995" s="1">
        <v>45854</v>
      </c>
      <c r="B995" t="s">
        <v>168</v>
      </c>
      <c r="C995" t="s">
        <v>49</v>
      </c>
      <c r="D995" t="s">
        <v>26</v>
      </c>
      <c r="E995">
        <v>15</v>
      </c>
      <c r="F995">
        <v>2</v>
      </c>
      <c r="G995">
        <v>23.32</v>
      </c>
      <c r="H995">
        <v>3500</v>
      </c>
      <c r="I995">
        <v>81620</v>
      </c>
      <c r="J995">
        <v>12243</v>
      </c>
      <c r="K995">
        <v>93863</v>
      </c>
    </row>
    <row r="996" spans="1:11" x14ac:dyDescent="0.25">
      <c r="A996" s="1">
        <v>45852</v>
      </c>
      <c r="B996" t="s">
        <v>219</v>
      </c>
      <c r="C996" t="s">
        <v>178</v>
      </c>
      <c r="D996" t="s">
        <v>11</v>
      </c>
      <c r="E996">
        <v>3</v>
      </c>
      <c r="F996">
        <v>1</v>
      </c>
      <c r="G996">
        <v>3</v>
      </c>
      <c r="H996" s="2">
        <v>3000</v>
      </c>
      <c r="I996">
        <v>9000</v>
      </c>
      <c r="J996">
        <v>1350</v>
      </c>
      <c r="K996">
        <v>10350</v>
      </c>
    </row>
    <row r="997" spans="1:11" x14ac:dyDescent="0.25">
      <c r="A997" s="1">
        <v>45854</v>
      </c>
      <c r="B997" t="s">
        <v>199</v>
      </c>
      <c r="C997" t="s">
        <v>182</v>
      </c>
      <c r="D997" t="s">
        <v>27</v>
      </c>
      <c r="E997">
        <v>1</v>
      </c>
      <c r="F997">
        <v>0</v>
      </c>
      <c r="G997">
        <v>1</v>
      </c>
      <c r="H997">
        <v>3000</v>
      </c>
      <c r="I997">
        <v>3000</v>
      </c>
      <c r="J997">
        <v>450</v>
      </c>
      <c r="K997">
        <v>3450</v>
      </c>
    </row>
    <row r="998" spans="1:11" x14ac:dyDescent="0.25">
      <c r="A998" s="1">
        <v>45829</v>
      </c>
      <c r="B998" t="s">
        <v>20</v>
      </c>
      <c r="C998" t="s">
        <v>25</v>
      </c>
      <c r="D998" t="s">
        <v>19</v>
      </c>
      <c r="E998">
        <v>9</v>
      </c>
      <c r="F998">
        <v>616</v>
      </c>
      <c r="G998">
        <v>616</v>
      </c>
      <c r="H998">
        <v>90</v>
      </c>
      <c r="I998">
        <v>55440</v>
      </c>
      <c r="J998">
        <v>8316</v>
      </c>
      <c r="K998">
        <v>63756</v>
      </c>
    </row>
    <row r="999" spans="1:11" x14ac:dyDescent="0.25">
      <c r="A999" s="1">
        <v>45854</v>
      </c>
      <c r="B999" t="s">
        <v>20</v>
      </c>
      <c r="C999" t="s">
        <v>160</v>
      </c>
      <c r="D999" t="s">
        <v>17</v>
      </c>
      <c r="E999">
        <v>3</v>
      </c>
      <c r="F999">
        <v>190</v>
      </c>
      <c r="G999">
        <v>190</v>
      </c>
      <c r="H999">
        <v>90</v>
      </c>
      <c r="I999">
        <v>17100</v>
      </c>
      <c r="J999">
        <v>2565</v>
      </c>
      <c r="K999">
        <v>19665</v>
      </c>
    </row>
    <row r="1000" spans="1:11" x14ac:dyDescent="0.25">
      <c r="A1000" s="1">
        <v>45854</v>
      </c>
      <c r="B1000" t="s">
        <v>20</v>
      </c>
      <c r="C1000" t="s">
        <v>48</v>
      </c>
      <c r="D1000" t="s">
        <v>32</v>
      </c>
      <c r="E1000">
        <v>46</v>
      </c>
      <c r="F1000">
        <v>452</v>
      </c>
      <c r="G1000">
        <v>452</v>
      </c>
      <c r="H1000">
        <v>90</v>
      </c>
      <c r="I1000">
        <v>40680</v>
      </c>
      <c r="J1000">
        <v>6102</v>
      </c>
      <c r="K1000">
        <v>46782</v>
      </c>
    </row>
    <row r="1001" spans="1:11" x14ac:dyDescent="0.25">
      <c r="A1001" s="1">
        <v>45854</v>
      </c>
      <c r="B1001" t="s">
        <v>20</v>
      </c>
      <c r="C1001" t="s">
        <v>143</v>
      </c>
      <c r="D1001" t="s">
        <v>26</v>
      </c>
      <c r="E1001">
        <v>2</v>
      </c>
      <c r="F1001">
        <v>207</v>
      </c>
      <c r="G1001">
        <v>207</v>
      </c>
      <c r="H1001">
        <v>90</v>
      </c>
      <c r="I1001">
        <v>18630</v>
      </c>
      <c r="J1001">
        <v>2794.5</v>
      </c>
      <c r="K1001">
        <v>21424.5</v>
      </c>
    </row>
    <row r="1002" spans="1:11" x14ac:dyDescent="0.25">
      <c r="A1002" s="1">
        <v>45854</v>
      </c>
      <c r="B1002" t="s">
        <v>20</v>
      </c>
      <c r="C1002" t="s">
        <v>143</v>
      </c>
      <c r="D1002" t="s">
        <v>24</v>
      </c>
      <c r="E1002">
        <v>1</v>
      </c>
      <c r="F1002">
        <v>396</v>
      </c>
      <c r="G1002">
        <v>396</v>
      </c>
      <c r="H1002">
        <v>90</v>
      </c>
      <c r="I1002">
        <v>35640</v>
      </c>
      <c r="J1002">
        <v>5346</v>
      </c>
      <c r="K1002">
        <v>40986</v>
      </c>
    </row>
    <row r="1003" spans="1:11" x14ac:dyDescent="0.25">
      <c r="A1003" s="1">
        <v>45853</v>
      </c>
      <c r="B1003" t="s">
        <v>36</v>
      </c>
      <c r="C1003" t="s">
        <v>203</v>
      </c>
      <c r="D1003" t="s">
        <v>19</v>
      </c>
      <c r="E1003">
        <v>5</v>
      </c>
      <c r="F1003">
        <v>6</v>
      </c>
      <c r="G1003">
        <v>9.89</v>
      </c>
      <c r="H1003">
        <v>2400</v>
      </c>
      <c r="I1003">
        <v>23736</v>
      </c>
      <c r="J1003">
        <v>3560.4</v>
      </c>
      <c r="K1003">
        <v>27296.400000000001</v>
      </c>
    </row>
    <row r="1004" spans="1:11" x14ac:dyDescent="0.25">
      <c r="A1004" s="1">
        <v>45853</v>
      </c>
      <c r="B1004" t="s">
        <v>36</v>
      </c>
      <c r="C1004" t="s">
        <v>119</v>
      </c>
      <c r="D1004" t="s">
        <v>19</v>
      </c>
      <c r="E1004">
        <v>5</v>
      </c>
      <c r="F1004">
        <v>8</v>
      </c>
      <c r="G1004">
        <v>9</v>
      </c>
      <c r="H1004">
        <v>2400</v>
      </c>
      <c r="I1004">
        <v>21600</v>
      </c>
      <c r="J1004">
        <v>3240</v>
      </c>
      <c r="K1004">
        <v>24840</v>
      </c>
    </row>
    <row r="1005" spans="1:11" x14ac:dyDescent="0.25">
      <c r="A1005" s="1">
        <v>45854</v>
      </c>
      <c r="B1005" t="s">
        <v>36</v>
      </c>
      <c r="C1005" t="s">
        <v>169</v>
      </c>
      <c r="D1005" t="s">
        <v>19</v>
      </c>
      <c r="E1005">
        <v>4</v>
      </c>
      <c r="F1005">
        <v>4</v>
      </c>
      <c r="G1005">
        <v>10.49</v>
      </c>
      <c r="H1005">
        <v>2400</v>
      </c>
      <c r="I1005">
        <v>25176</v>
      </c>
      <c r="J1005">
        <v>3776.4</v>
      </c>
      <c r="K1005">
        <v>28952.400000000001</v>
      </c>
    </row>
    <row r="1006" spans="1:11" x14ac:dyDescent="0.25">
      <c r="A1006" s="1">
        <v>45854</v>
      </c>
      <c r="B1006" t="s">
        <v>36</v>
      </c>
      <c r="C1006" t="s">
        <v>48</v>
      </c>
      <c r="D1006" t="s">
        <v>19</v>
      </c>
      <c r="E1006">
        <v>4</v>
      </c>
      <c r="F1006">
        <v>4</v>
      </c>
      <c r="G1006">
        <v>9.3000000000000007</v>
      </c>
      <c r="H1006">
        <v>2400</v>
      </c>
      <c r="I1006">
        <v>22320</v>
      </c>
      <c r="J1006">
        <v>3348</v>
      </c>
      <c r="K1006">
        <v>25668</v>
      </c>
    </row>
    <row r="1007" spans="1:11" x14ac:dyDescent="0.25">
      <c r="A1007" s="1">
        <v>45854</v>
      </c>
      <c r="B1007" t="s">
        <v>36</v>
      </c>
      <c r="C1007" t="s">
        <v>62</v>
      </c>
      <c r="D1007" t="s">
        <v>17</v>
      </c>
      <c r="E1007">
        <v>11</v>
      </c>
      <c r="F1007">
        <v>5</v>
      </c>
      <c r="G1007">
        <v>12.91</v>
      </c>
      <c r="H1007">
        <v>2400</v>
      </c>
      <c r="I1007">
        <v>30984</v>
      </c>
      <c r="J1007">
        <v>4647.6000000000004</v>
      </c>
      <c r="K1007">
        <v>35631.599999999999</v>
      </c>
    </row>
    <row r="1008" spans="1:11" x14ac:dyDescent="0.25">
      <c r="A1008" s="1">
        <v>45854</v>
      </c>
      <c r="B1008" t="s">
        <v>36</v>
      </c>
      <c r="C1008" t="s">
        <v>23</v>
      </c>
      <c r="D1008" t="s">
        <v>32</v>
      </c>
      <c r="E1008">
        <v>5</v>
      </c>
      <c r="F1008">
        <v>5</v>
      </c>
      <c r="G1008">
        <v>10</v>
      </c>
      <c r="H1008">
        <v>2400</v>
      </c>
      <c r="I1008">
        <v>24000</v>
      </c>
      <c r="J1008">
        <v>3600</v>
      </c>
      <c r="K1008">
        <v>27600</v>
      </c>
    </row>
    <row r="1009" spans="1:11" x14ac:dyDescent="0.25">
      <c r="A1009" s="1">
        <v>45854</v>
      </c>
      <c r="B1009" t="s">
        <v>36</v>
      </c>
      <c r="C1009" t="s">
        <v>25</v>
      </c>
      <c r="D1009" t="s">
        <v>32</v>
      </c>
      <c r="E1009">
        <v>5</v>
      </c>
      <c r="F1009">
        <v>3</v>
      </c>
      <c r="G1009">
        <v>10</v>
      </c>
      <c r="H1009">
        <v>2400</v>
      </c>
      <c r="I1009">
        <v>24000</v>
      </c>
      <c r="J1009">
        <v>3600</v>
      </c>
      <c r="K1009">
        <v>27600</v>
      </c>
    </row>
    <row r="1010" spans="1:11" x14ac:dyDescent="0.25">
      <c r="A1010" s="1">
        <v>45854</v>
      </c>
      <c r="B1010" t="s">
        <v>36</v>
      </c>
      <c r="C1010" t="s">
        <v>218</v>
      </c>
      <c r="D1010" t="s">
        <v>24</v>
      </c>
      <c r="E1010">
        <v>3</v>
      </c>
      <c r="F1010">
        <v>5</v>
      </c>
      <c r="G1010">
        <v>20</v>
      </c>
      <c r="H1010">
        <v>2400</v>
      </c>
      <c r="I1010">
        <v>48000</v>
      </c>
      <c r="J1010">
        <v>7200</v>
      </c>
      <c r="K1010">
        <v>55200</v>
      </c>
    </row>
    <row r="1011" spans="1:11" x14ac:dyDescent="0.25">
      <c r="A1011" s="1">
        <v>45854</v>
      </c>
      <c r="B1011" t="s">
        <v>36</v>
      </c>
      <c r="C1011" t="s">
        <v>220</v>
      </c>
      <c r="D1011" t="s">
        <v>24</v>
      </c>
      <c r="E1011">
        <v>3</v>
      </c>
      <c r="F1011">
        <v>5</v>
      </c>
      <c r="G1011">
        <v>20</v>
      </c>
      <c r="H1011">
        <v>2400</v>
      </c>
      <c r="I1011">
        <v>48000</v>
      </c>
      <c r="J1011">
        <v>7200</v>
      </c>
      <c r="K1011">
        <v>55200</v>
      </c>
    </row>
    <row r="1012" spans="1:11" x14ac:dyDescent="0.25">
      <c r="A1012" s="1">
        <v>45854</v>
      </c>
      <c r="B1012" t="s">
        <v>36</v>
      </c>
      <c r="C1012" t="s">
        <v>221</v>
      </c>
      <c r="D1012" t="s">
        <v>24</v>
      </c>
      <c r="E1012">
        <v>3</v>
      </c>
      <c r="F1012">
        <v>5</v>
      </c>
      <c r="G1012">
        <v>3.41</v>
      </c>
      <c r="H1012">
        <v>2400</v>
      </c>
      <c r="I1012">
        <v>8184</v>
      </c>
      <c r="J1012">
        <v>1227.5999999999999</v>
      </c>
      <c r="K1012">
        <v>9411.6</v>
      </c>
    </row>
    <row r="1013" spans="1:11" x14ac:dyDescent="0.25">
      <c r="A1013" s="1">
        <v>45854</v>
      </c>
      <c r="B1013" t="s">
        <v>36</v>
      </c>
      <c r="C1013" t="s">
        <v>103</v>
      </c>
      <c r="D1013" t="s">
        <v>24</v>
      </c>
      <c r="E1013">
        <v>3</v>
      </c>
      <c r="F1013">
        <v>55</v>
      </c>
      <c r="G1013">
        <v>14.13</v>
      </c>
      <c r="H1013">
        <v>2400</v>
      </c>
      <c r="I1013">
        <v>33912</v>
      </c>
      <c r="J1013">
        <v>5086.8</v>
      </c>
      <c r="K1013">
        <v>38998.800000000003</v>
      </c>
    </row>
    <row r="1014" spans="1:11" x14ac:dyDescent="0.25">
      <c r="A1014" s="1">
        <v>45854</v>
      </c>
      <c r="B1014" t="s">
        <v>36</v>
      </c>
      <c r="C1014" t="s">
        <v>69</v>
      </c>
      <c r="D1014" t="s">
        <v>24</v>
      </c>
      <c r="E1014">
        <v>3</v>
      </c>
      <c r="F1014">
        <v>5</v>
      </c>
      <c r="G1014">
        <v>14</v>
      </c>
      <c r="H1014">
        <v>2400</v>
      </c>
      <c r="I1014">
        <v>33600</v>
      </c>
      <c r="J1014">
        <v>5040</v>
      </c>
      <c r="K1014">
        <v>38640</v>
      </c>
    </row>
    <row r="1015" spans="1:11" x14ac:dyDescent="0.25">
      <c r="A1015" s="1">
        <v>45854</v>
      </c>
      <c r="B1015" t="s">
        <v>36</v>
      </c>
      <c r="C1015" t="s">
        <v>214</v>
      </c>
      <c r="D1015" t="s">
        <v>24</v>
      </c>
      <c r="E1015">
        <v>3</v>
      </c>
      <c r="F1015">
        <v>5</v>
      </c>
      <c r="G1015">
        <v>12.06</v>
      </c>
      <c r="H1015">
        <v>2400</v>
      </c>
      <c r="I1015">
        <v>28944</v>
      </c>
      <c r="J1015">
        <v>4341.6000000000004</v>
      </c>
      <c r="K1015">
        <v>33285.599999999999</v>
      </c>
    </row>
    <row r="1016" spans="1:11" x14ac:dyDescent="0.25">
      <c r="A1016" s="1">
        <v>45854</v>
      </c>
      <c r="B1016" t="s">
        <v>36</v>
      </c>
      <c r="C1016" t="s">
        <v>149</v>
      </c>
      <c r="D1016" t="s">
        <v>24</v>
      </c>
      <c r="E1016">
        <v>3</v>
      </c>
      <c r="F1016">
        <v>5</v>
      </c>
      <c r="G1016">
        <v>15</v>
      </c>
      <c r="H1016">
        <v>2400</v>
      </c>
      <c r="I1016">
        <v>36000</v>
      </c>
      <c r="J1016">
        <v>5400</v>
      </c>
      <c r="K1016">
        <v>41400</v>
      </c>
    </row>
    <row r="1017" spans="1:11" x14ac:dyDescent="0.25">
      <c r="A1017" s="1">
        <v>45854</v>
      </c>
      <c r="B1017" t="s">
        <v>36</v>
      </c>
      <c r="C1017" t="s">
        <v>148</v>
      </c>
      <c r="D1017" t="s">
        <v>24</v>
      </c>
      <c r="E1017">
        <v>3</v>
      </c>
      <c r="F1017">
        <v>5</v>
      </c>
      <c r="G1017">
        <v>17.28</v>
      </c>
      <c r="H1017">
        <v>2400</v>
      </c>
      <c r="I1017">
        <v>41472</v>
      </c>
      <c r="J1017">
        <v>6220.8</v>
      </c>
      <c r="K1017">
        <v>47692.800000000003</v>
      </c>
    </row>
    <row r="1018" spans="1:11" x14ac:dyDescent="0.25">
      <c r="A1018" s="1">
        <v>45843</v>
      </c>
      <c r="B1018" t="s">
        <v>42</v>
      </c>
      <c r="C1018" t="s">
        <v>66</v>
      </c>
      <c r="D1018" t="s">
        <v>26</v>
      </c>
      <c r="E1018">
        <v>3</v>
      </c>
      <c r="F1018">
        <v>271</v>
      </c>
      <c r="G1018">
        <v>271</v>
      </c>
      <c r="H1018">
        <v>70</v>
      </c>
      <c r="I1018">
        <v>18970</v>
      </c>
      <c r="J1018">
        <v>2845.5</v>
      </c>
      <c r="K1018">
        <v>21815.5</v>
      </c>
    </row>
    <row r="1019" spans="1:11" x14ac:dyDescent="0.25">
      <c r="A1019" s="1">
        <v>45853</v>
      </c>
      <c r="B1019" t="s">
        <v>42</v>
      </c>
      <c r="C1019" t="s">
        <v>121</v>
      </c>
      <c r="D1019" t="s">
        <v>17</v>
      </c>
      <c r="E1019">
        <v>10</v>
      </c>
      <c r="F1019">
        <v>844</v>
      </c>
      <c r="G1019">
        <v>844</v>
      </c>
      <c r="H1019">
        <v>70</v>
      </c>
      <c r="I1019">
        <v>59080</v>
      </c>
      <c r="J1019">
        <v>8862</v>
      </c>
      <c r="K1019">
        <v>67942</v>
      </c>
    </row>
    <row r="1020" spans="1:11" x14ac:dyDescent="0.25">
      <c r="A1020" s="1">
        <v>45853</v>
      </c>
      <c r="B1020" t="s">
        <v>42</v>
      </c>
      <c r="C1020" t="s">
        <v>143</v>
      </c>
      <c r="D1020" t="s">
        <v>32</v>
      </c>
      <c r="E1020">
        <v>12</v>
      </c>
      <c r="F1020">
        <v>698</v>
      </c>
      <c r="G1020">
        <v>698</v>
      </c>
      <c r="H1020">
        <v>70</v>
      </c>
      <c r="I1020">
        <v>48860</v>
      </c>
      <c r="J1020">
        <v>7329</v>
      </c>
      <c r="K1020">
        <v>56189</v>
      </c>
    </row>
    <row r="1021" spans="1:11" x14ac:dyDescent="0.25">
      <c r="A1021" s="1">
        <v>45840</v>
      </c>
      <c r="B1021" t="s">
        <v>42</v>
      </c>
      <c r="C1021" t="s">
        <v>23</v>
      </c>
      <c r="D1021" t="s">
        <v>26</v>
      </c>
      <c r="E1021">
        <v>5</v>
      </c>
      <c r="F1021">
        <v>440</v>
      </c>
      <c r="G1021">
        <v>440</v>
      </c>
      <c r="H1021">
        <v>70</v>
      </c>
      <c r="I1021">
        <v>30800</v>
      </c>
      <c r="J1021">
        <v>4620</v>
      </c>
      <c r="K1021">
        <v>35420</v>
      </c>
    </row>
    <row r="1022" spans="1:11" x14ac:dyDescent="0.25">
      <c r="A1022" s="1">
        <v>45853</v>
      </c>
      <c r="B1022" t="s">
        <v>42</v>
      </c>
      <c r="C1022" t="s">
        <v>143</v>
      </c>
      <c r="D1022" t="s">
        <v>27</v>
      </c>
      <c r="E1022">
        <v>45</v>
      </c>
      <c r="F1022">
        <v>113</v>
      </c>
      <c r="G1022">
        <v>113</v>
      </c>
      <c r="H1022">
        <v>70</v>
      </c>
      <c r="I1022">
        <v>7910</v>
      </c>
      <c r="J1022">
        <v>1186.5</v>
      </c>
      <c r="K1022">
        <v>9096.5</v>
      </c>
    </row>
    <row r="1023" spans="1:11" x14ac:dyDescent="0.25">
      <c r="A1023" s="1">
        <v>45854</v>
      </c>
      <c r="B1023" t="s">
        <v>42</v>
      </c>
      <c r="C1023" t="s">
        <v>52</v>
      </c>
      <c r="D1023" t="s">
        <v>19</v>
      </c>
      <c r="E1023">
        <v>5</v>
      </c>
      <c r="F1023">
        <v>371</v>
      </c>
      <c r="G1023">
        <v>371</v>
      </c>
      <c r="H1023">
        <v>70</v>
      </c>
      <c r="I1023">
        <v>25970</v>
      </c>
      <c r="J1023">
        <v>3895.5</v>
      </c>
      <c r="K1023">
        <v>29865.5</v>
      </c>
    </row>
    <row r="1024" spans="1:11" x14ac:dyDescent="0.25">
      <c r="A1024" s="1">
        <v>45854</v>
      </c>
      <c r="B1024" t="s">
        <v>42</v>
      </c>
      <c r="C1024" t="s">
        <v>51</v>
      </c>
      <c r="D1024" t="s">
        <v>27</v>
      </c>
      <c r="E1024">
        <v>1</v>
      </c>
      <c r="F1024">
        <v>129</v>
      </c>
      <c r="G1024">
        <v>129</v>
      </c>
      <c r="H1024">
        <v>70</v>
      </c>
      <c r="I1024">
        <v>9030</v>
      </c>
      <c r="J1024">
        <v>1354.5</v>
      </c>
      <c r="K1024">
        <v>10384.5</v>
      </c>
    </row>
    <row r="1025" spans="1:11" x14ac:dyDescent="0.25">
      <c r="A1025" s="1">
        <v>45854</v>
      </c>
      <c r="B1025" t="s">
        <v>42</v>
      </c>
      <c r="C1025" t="s">
        <v>53</v>
      </c>
      <c r="D1025" t="s">
        <v>19</v>
      </c>
      <c r="E1025">
        <v>5</v>
      </c>
      <c r="F1025">
        <v>24</v>
      </c>
      <c r="G1025">
        <v>24</v>
      </c>
      <c r="H1025">
        <v>70</v>
      </c>
      <c r="I1025">
        <v>1680</v>
      </c>
      <c r="J1025">
        <v>252</v>
      </c>
      <c r="K1025">
        <v>1932</v>
      </c>
    </row>
    <row r="1026" spans="1:11" x14ac:dyDescent="0.25">
      <c r="A1026" s="1">
        <v>45854</v>
      </c>
      <c r="B1026" t="s">
        <v>42</v>
      </c>
      <c r="C1026" t="s">
        <v>143</v>
      </c>
      <c r="D1026" t="s">
        <v>19</v>
      </c>
      <c r="E1026">
        <v>1</v>
      </c>
      <c r="F1026">
        <v>431</v>
      </c>
      <c r="G1026">
        <v>431</v>
      </c>
      <c r="H1026">
        <v>70</v>
      </c>
      <c r="I1026">
        <v>30170</v>
      </c>
      <c r="J1026">
        <v>4525.5</v>
      </c>
      <c r="K1026">
        <v>34695.5</v>
      </c>
    </row>
    <row r="1027" spans="1:11" x14ac:dyDescent="0.25">
      <c r="A1027" s="1">
        <v>45840</v>
      </c>
      <c r="B1027" t="s">
        <v>42</v>
      </c>
      <c r="C1027" t="s">
        <v>25</v>
      </c>
      <c r="D1027" t="s">
        <v>26</v>
      </c>
      <c r="E1027">
        <v>9</v>
      </c>
      <c r="F1027">
        <v>413</v>
      </c>
      <c r="G1027">
        <v>413</v>
      </c>
      <c r="H1027">
        <v>70</v>
      </c>
      <c r="I1027">
        <v>28910</v>
      </c>
      <c r="J1027">
        <v>4336.5</v>
      </c>
      <c r="K1027">
        <v>33246.5</v>
      </c>
    </row>
    <row r="1028" spans="1:11" x14ac:dyDescent="0.25">
      <c r="A1028" s="1">
        <v>45854</v>
      </c>
      <c r="B1028" t="s">
        <v>42</v>
      </c>
      <c r="C1028" t="s">
        <v>35</v>
      </c>
      <c r="D1028" t="s">
        <v>32</v>
      </c>
      <c r="E1028">
        <v>31</v>
      </c>
      <c r="F1028">
        <v>346</v>
      </c>
      <c r="G1028">
        <v>346</v>
      </c>
      <c r="H1028">
        <v>70</v>
      </c>
      <c r="I1028">
        <v>24220</v>
      </c>
      <c r="J1028">
        <v>3633</v>
      </c>
      <c r="K1028">
        <v>27853</v>
      </c>
    </row>
    <row r="1029" spans="1:11" x14ac:dyDescent="0.25">
      <c r="A1029" s="1">
        <v>45854</v>
      </c>
      <c r="B1029" t="s">
        <v>42</v>
      </c>
      <c r="C1029" t="s">
        <v>55</v>
      </c>
      <c r="D1029" t="s">
        <v>27</v>
      </c>
      <c r="E1029">
        <v>4</v>
      </c>
      <c r="F1029">
        <v>256</v>
      </c>
      <c r="G1029">
        <v>256</v>
      </c>
      <c r="H1029">
        <v>70</v>
      </c>
      <c r="I1029">
        <v>17920</v>
      </c>
      <c r="J1029">
        <v>2688</v>
      </c>
      <c r="K1029">
        <v>20608</v>
      </c>
    </row>
    <row r="1030" spans="1:11" x14ac:dyDescent="0.25">
      <c r="A1030" s="1">
        <v>45854</v>
      </c>
      <c r="B1030" t="s">
        <v>42</v>
      </c>
      <c r="C1030" t="s">
        <v>55</v>
      </c>
      <c r="D1030" t="s">
        <v>19</v>
      </c>
      <c r="E1030">
        <v>12</v>
      </c>
      <c r="F1030">
        <v>74</v>
      </c>
      <c r="G1030">
        <v>74</v>
      </c>
      <c r="H1030">
        <v>70</v>
      </c>
      <c r="I1030">
        <v>5180</v>
      </c>
      <c r="J1030">
        <v>777</v>
      </c>
      <c r="K1030">
        <v>5957</v>
      </c>
    </row>
    <row r="1031" spans="1:11" x14ac:dyDescent="0.25">
      <c r="A1031" s="1">
        <v>45854</v>
      </c>
      <c r="B1031" t="s">
        <v>58</v>
      </c>
      <c r="C1031" t="s">
        <v>222</v>
      </c>
      <c r="D1031" t="s">
        <v>26</v>
      </c>
      <c r="E1031">
        <v>3</v>
      </c>
      <c r="F1031">
        <v>1</v>
      </c>
      <c r="G1031">
        <v>10</v>
      </c>
      <c r="H1031">
        <v>3500</v>
      </c>
      <c r="I1031">
        <v>35000</v>
      </c>
      <c r="J1031">
        <v>5250</v>
      </c>
      <c r="K1031">
        <v>40250</v>
      </c>
    </row>
    <row r="1032" spans="1:11" x14ac:dyDescent="0.25">
      <c r="A1032" s="1">
        <v>45854</v>
      </c>
      <c r="B1032" t="s">
        <v>58</v>
      </c>
      <c r="C1032" t="s">
        <v>222</v>
      </c>
      <c r="D1032" t="s">
        <v>26</v>
      </c>
      <c r="E1032">
        <v>3</v>
      </c>
      <c r="F1032">
        <v>1</v>
      </c>
      <c r="G1032">
        <v>10</v>
      </c>
      <c r="H1032">
        <v>3500</v>
      </c>
      <c r="I1032">
        <v>35000</v>
      </c>
      <c r="J1032">
        <v>5250</v>
      </c>
      <c r="K1032">
        <v>40250</v>
      </c>
    </row>
    <row r="1033" spans="1:11" x14ac:dyDescent="0.25">
      <c r="A1033" s="1">
        <v>45854</v>
      </c>
      <c r="B1033" t="s">
        <v>58</v>
      </c>
      <c r="C1033" t="s">
        <v>223</v>
      </c>
      <c r="D1033" t="s">
        <v>26</v>
      </c>
      <c r="E1033">
        <v>4</v>
      </c>
      <c r="F1033">
        <v>1</v>
      </c>
      <c r="G1033">
        <v>5.7</v>
      </c>
      <c r="H1033">
        <v>3500</v>
      </c>
      <c r="I1033">
        <v>19950</v>
      </c>
      <c r="J1033">
        <v>2992.5</v>
      </c>
      <c r="K1033">
        <v>22942.5</v>
      </c>
    </row>
    <row r="1034" spans="1:11" x14ac:dyDescent="0.25">
      <c r="A1034" s="1">
        <v>45854</v>
      </c>
      <c r="B1034" t="s">
        <v>122</v>
      </c>
      <c r="C1034" t="s">
        <v>29</v>
      </c>
      <c r="D1034" t="s">
        <v>24</v>
      </c>
      <c r="E1034">
        <v>6</v>
      </c>
      <c r="F1034">
        <v>41</v>
      </c>
      <c r="G1034">
        <v>41</v>
      </c>
      <c r="H1034">
        <v>90</v>
      </c>
      <c r="I1034">
        <v>3690</v>
      </c>
      <c r="J1034">
        <v>553.5</v>
      </c>
      <c r="K1034">
        <v>4243.5</v>
      </c>
    </row>
    <row r="1035" spans="1:11" x14ac:dyDescent="0.25">
      <c r="A1035" s="1">
        <v>45854</v>
      </c>
      <c r="B1035" t="s">
        <v>30</v>
      </c>
      <c r="C1035" t="s">
        <v>55</v>
      </c>
      <c r="D1035" t="s">
        <v>32</v>
      </c>
      <c r="E1035">
        <v>10</v>
      </c>
      <c r="F1035">
        <v>12</v>
      </c>
      <c r="G1035">
        <v>3327</v>
      </c>
      <c r="H1035">
        <v>70</v>
      </c>
      <c r="I1035">
        <v>232890</v>
      </c>
      <c r="J1035">
        <v>34933.5</v>
      </c>
      <c r="K1035">
        <v>267823.5</v>
      </c>
    </row>
    <row r="1036" spans="1:11" x14ac:dyDescent="0.25">
      <c r="A1036" s="1">
        <v>45853</v>
      </c>
      <c r="B1036" t="s">
        <v>44</v>
      </c>
      <c r="C1036" t="s">
        <v>46</v>
      </c>
      <c r="D1036" t="s">
        <v>88</v>
      </c>
      <c r="E1036">
        <v>2</v>
      </c>
      <c r="F1036">
        <v>250</v>
      </c>
      <c r="G1036">
        <v>250</v>
      </c>
      <c r="H1036">
        <v>70</v>
      </c>
      <c r="I1036">
        <v>17500</v>
      </c>
      <c r="J1036">
        <v>2625</v>
      </c>
      <c r="K1036">
        <v>20125</v>
      </c>
    </row>
    <row r="1037" spans="1:11" x14ac:dyDescent="0.25">
      <c r="A1037" s="1">
        <v>45853</v>
      </c>
      <c r="B1037" t="s">
        <v>44</v>
      </c>
      <c r="C1037" t="s">
        <v>28</v>
      </c>
      <c r="D1037" t="s">
        <v>88</v>
      </c>
      <c r="E1037">
        <v>2</v>
      </c>
      <c r="F1037">
        <v>118</v>
      </c>
      <c r="G1037">
        <v>118</v>
      </c>
      <c r="H1037">
        <v>70</v>
      </c>
      <c r="I1037">
        <v>8260</v>
      </c>
      <c r="J1037">
        <v>1239</v>
      </c>
      <c r="K1037">
        <v>9499</v>
      </c>
    </row>
    <row r="1038" spans="1:11" x14ac:dyDescent="0.25">
      <c r="A1038" s="1">
        <v>45853</v>
      </c>
      <c r="B1038" t="s">
        <v>44</v>
      </c>
      <c r="C1038" t="s">
        <v>47</v>
      </c>
      <c r="D1038" t="s">
        <v>88</v>
      </c>
      <c r="E1038">
        <v>2</v>
      </c>
      <c r="F1038">
        <v>51</v>
      </c>
      <c r="G1038">
        <v>51</v>
      </c>
      <c r="H1038">
        <v>70</v>
      </c>
      <c r="I1038">
        <v>3570</v>
      </c>
      <c r="J1038">
        <v>535.5</v>
      </c>
      <c r="K1038">
        <v>4105.5</v>
      </c>
    </row>
    <row r="1039" spans="1:11" x14ac:dyDescent="0.25">
      <c r="A1039" s="1">
        <v>45853</v>
      </c>
      <c r="B1039" t="s">
        <v>44</v>
      </c>
      <c r="C1039" t="s">
        <v>49</v>
      </c>
      <c r="D1039" t="s">
        <v>88</v>
      </c>
      <c r="E1039">
        <v>2</v>
      </c>
      <c r="F1039">
        <v>527</v>
      </c>
      <c r="G1039">
        <v>527</v>
      </c>
      <c r="H1039">
        <v>70</v>
      </c>
      <c r="I1039">
        <v>36890</v>
      </c>
      <c r="J1039">
        <v>5533.5</v>
      </c>
      <c r="K1039">
        <v>42423.5</v>
      </c>
    </row>
    <row r="1040" spans="1:11" x14ac:dyDescent="0.25">
      <c r="A1040" s="1">
        <v>45853</v>
      </c>
      <c r="B1040" t="s">
        <v>44</v>
      </c>
      <c r="C1040" t="s">
        <v>50</v>
      </c>
      <c r="D1040" t="s">
        <v>88</v>
      </c>
      <c r="E1040">
        <v>2</v>
      </c>
      <c r="F1040">
        <v>60</v>
      </c>
      <c r="G1040">
        <v>60</v>
      </c>
      <c r="H1040">
        <v>70</v>
      </c>
      <c r="I1040">
        <v>4200</v>
      </c>
      <c r="J1040">
        <v>630</v>
      </c>
      <c r="K1040">
        <v>4830</v>
      </c>
    </row>
    <row r="1041" spans="1:11" x14ac:dyDescent="0.25">
      <c r="A1041" s="1">
        <v>45853</v>
      </c>
      <c r="B1041" t="s">
        <v>44</v>
      </c>
      <c r="C1041" t="s">
        <v>51</v>
      </c>
      <c r="D1041" t="s">
        <v>88</v>
      </c>
      <c r="E1041">
        <v>2</v>
      </c>
      <c r="F1041">
        <v>767</v>
      </c>
      <c r="G1041">
        <v>767</v>
      </c>
      <c r="H1041">
        <v>70</v>
      </c>
      <c r="I1041">
        <v>53690</v>
      </c>
      <c r="J1041">
        <v>8053.5</v>
      </c>
      <c r="K1041">
        <v>61743.5</v>
      </c>
    </row>
    <row r="1042" spans="1:11" x14ac:dyDescent="0.25">
      <c r="A1042" s="1">
        <v>45853</v>
      </c>
      <c r="B1042" t="s">
        <v>44</v>
      </c>
      <c r="C1042" t="s">
        <v>160</v>
      </c>
      <c r="D1042" t="s">
        <v>88</v>
      </c>
      <c r="E1042">
        <v>2</v>
      </c>
      <c r="F1042">
        <v>277</v>
      </c>
      <c r="G1042">
        <v>277</v>
      </c>
      <c r="H1042">
        <v>70</v>
      </c>
      <c r="I1042">
        <v>19390</v>
      </c>
      <c r="J1042">
        <v>2908.5</v>
      </c>
      <c r="K1042">
        <v>22298.5</v>
      </c>
    </row>
    <row r="1043" spans="1:11" x14ac:dyDescent="0.25">
      <c r="A1043" s="1">
        <v>45853</v>
      </c>
      <c r="B1043" t="s">
        <v>44</v>
      </c>
      <c r="C1043" t="s">
        <v>52</v>
      </c>
      <c r="D1043" t="s">
        <v>88</v>
      </c>
      <c r="E1043">
        <v>2</v>
      </c>
      <c r="F1043">
        <v>670</v>
      </c>
      <c r="G1043">
        <v>670</v>
      </c>
      <c r="H1043">
        <v>70</v>
      </c>
      <c r="I1043">
        <v>46900</v>
      </c>
      <c r="J1043">
        <v>7035</v>
      </c>
      <c r="K1043">
        <v>53935</v>
      </c>
    </row>
    <row r="1044" spans="1:11" x14ac:dyDescent="0.25">
      <c r="A1044" s="1">
        <v>45853</v>
      </c>
      <c r="B1044" t="s">
        <v>44</v>
      </c>
      <c r="C1044" t="s">
        <v>102</v>
      </c>
      <c r="D1044" t="s">
        <v>88</v>
      </c>
      <c r="E1044">
        <v>2</v>
      </c>
      <c r="F1044">
        <v>928</v>
      </c>
      <c r="G1044">
        <v>928</v>
      </c>
      <c r="H1044">
        <v>70</v>
      </c>
      <c r="I1044">
        <v>64960</v>
      </c>
      <c r="J1044">
        <v>9744</v>
      </c>
      <c r="K1044">
        <v>74704</v>
      </c>
    </row>
    <row r="1045" spans="1:11" x14ac:dyDescent="0.25">
      <c r="A1045" s="1">
        <v>45853</v>
      </c>
      <c r="B1045" t="s">
        <v>44</v>
      </c>
      <c r="C1045" t="s">
        <v>85</v>
      </c>
      <c r="D1045" t="s">
        <v>88</v>
      </c>
      <c r="E1045">
        <v>2</v>
      </c>
      <c r="F1045">
        <v>225</v>
      </c>
      <c r="G1045">
        <v>225</v>
      </c>
      <c r="H1045">
        <v>70</v>
      </c>
      <c r="I1045">
        <v>15750</v>
      </c>
      <c r="J1045">
        <v>2362.5</v>
      </c>
      <c r="K1045">
        <v>18112.5</v>
      </c>
    </row>
    <row r="1046" spans="1:11" x14ac:dyDescent="0.25">
      <c r="A1046" s="1">
        <v>45853</v>
      </c>
      <c r="B1046" t="s">
        <v>44</v>
      </c>
      <c r="C1046" t="s">
        <v>40</v>
      </c>
      <c r="D1046" t="s">
        <v>88</v>
      </c>
      <c r="E1046">
        <v>2</v>
      </c>
      <c r="F1046">
        <v>336</v>
      </c>
      <c r="G1046">
        <v>336</v>
      </c>
      <c r="H1046">
        <v>70</v>
      </c>
      <c r="I1046">
        <v>23520</v>
      </c>
      <c r="J1046">
        <v>3528</v>
      </c>
      <c r="K1046">
        <v>27048</v>
      </c>
    </row>
    <row r="1047" spans="1:11" x14ac:dyDescent="0.25">
      <c r="A1047" s="1">
        <v>45853</v>
      </c>
      <c r="B1047" t="s">
        <v>44</v>
      </c>
      <c r="C1047" t="s">
        <v>66</v>
      </c>
      <c r="D1047" t="s">
        <v>88</v>
      </c>
      <c r="E1047">
        <v>2</v>
      </c>
      <c r="F1047">
        <v>240</v>
      </c>
      <c r="G1047">
        <v>240</v>
      </c>
      <c r="H1047">
        <v>70</v>
      </c>
      <c r="I1047">
        <v>16800</v>
      </c>
      <c r="J1047">
        <v>2520</v>
      </c>
      <c r="K1047">
        <v>19320</v>
      </c>
    </row>
    <row r="1048" spans="1:11" x14ac:dyDescent="0.25">
      <c r="A1048" s="1">
        <v>45853</v>
      </c>
      <c r="B1048" t="s">
        <v>44</v>
      </c>
      <c r="C1048" t="s">
        <v>67</v>
      </c>
      <c r="D1048" t="s">
        <v>88</v>
      </c>
      <c r="E1048">
        <v>2</v>
      </c>
      <c r="F1048">
        <v>1028</v>
      </c>
      <c r="G1048">
        <v>1028</v>
      </c>
      <c r="H1048">
        <v>70</v>
      </c>
      <c r="I1048">
        <v>71960</v>
      </c>
      <c r="J1048">
        <v>10794</v>
      </c>
      <c r="K1048">
        <v>82754</v>
      </c>
    </row>
    <row r="1049" spans="1:11" x14ac:dyDescent="0.25">
      <c r="A1049" s="1">
        <v>45853</v>
      </c>
      <c r="B1049" t="s">
        <v>44</v>
      </c>
      <c r="C1049" t="s">
        <v>72</v>
      </c>
      <c r="D1049" t="s">
        <v>88</v>
      </c>
      <c r="E1049">
        <v>2</v>
      </c>
      <c r="F1049">
        <v>165</v>
      </c>
      <c r="G1049">
        <v>165</v>
      </c>
      <c r="H1049">
        <v>70</v>
      </c>
      <c r="I1049">
        <v>11550</v>
      </c>
      <c r="J1049">
        <v>1732.5</v>
      </c>
      <c r="K1049">
        <v>13282.5</v>
      </c>
    </row>
    <row r="1050" spans="1:11" x14ac:dyDescent="0.25">
      <c r="A1050" s="1">
        <v>45853</v>
      </c>
      <c r="B1050" t="s">
        <v>44</v>
      </c>
      <c r="C1050" t="s">
        <v>23</v>
      </c>
      <c r="D1050" t="s">
        <v>88</v>
      </c>
      <c r="E1050">
        <v>2</v>
      </c>
      <c r="F1050">
        <v>499</v>
      </c>
      <c r="G1050">
        <v>499</v>
      </c>
      <c r="H1050">
        <v>70</v>
      </c>
      <c r="I1050">
        <v>34930</v>
      </c>
      <c r="J1050">
        <v>5239.5</v>
      </c>
      <c r="K1050">
        <v>40169.5</v>
      </c>
    </row>
    <row r="1051" spans="1:11" x14ac:dyDescent="0.25">
      <c r="A1051" s="1">
        <v>45853</v>
      </c>
      <c r="B1051" t="s">
        <v>44</v>
      </c>
      <c r="C1051" t="s">
        <v>53</v>
      </c>
      <c r="D1051" t="s">
        <v>88</v>
      </c>
      <c r="E1051">
        <v>2</v>
      </c>
      <c r="F1051">
        <v>51</v>
      </c>
      <c r="G1051">
        <v>51</v>
      </c>
      <c r="H1051">
        <v>70</v>
      </c>
      <c r="I1051">
        <v>3570</v>
      </c>
      <c r="J1051">
        <v>535.5</v>
      </c>
      <c r="K1051">
        <v>4105.5</v>
      </c>
    </row>
    <row r="1052" spans="1:11" x14ac:dyDescent="0.25">
      <c r="A1052" s="1">
        <v>45853</v>
      </c>
      <c r="B1052" t="s">
        <v>44</v>
      </c>
      <c r="C1052" t="s">
        <v>143</v>
      </c>
      <c r="D1052" t="s">
        <v>88</v>
      </c>
      <c r="E1052">
        <v>2</v>
      </c>
      <c r="F1052">
        <v>1301</v>
      </c>
      <c r="G1052">
        <v>1301</v>
      </c>
      <c r="H1052">
        <v>70</v>
      </c>
      <c r="I1052">
        <v>91070</v>
      </c>
      <c r="J1052">
        <v>13660.5</v>
      </c>
      <c r="K1052">
        <v>104730.5</v>
      </c>
    </row>
    <row r="1053" spans="1:11" x14ac:dyDescent="0.25">
      <c r="A1053" s="1">
        <v>45854</v>
      </c>
      <c r="B1053" t="s">
        <v>44</v>
      </c>
      <c r="C1053" t="s">
        <v>55</v>
      </c>
      <c r="D1053" t="s">
        <v>88</v>
      </c>
      <c r="E1053">
        <v>2</v>
      </c>
      <c r="F1053">
        <v>880</v>
      </c>
      <c r="G1053">
        <v>880</v>
      </c>
      <c r="H1053">
        <v>70</v>
      </c>
      <c r="I1053">
        <v>61600</v>
      </c>
      <c r="J1053">
        <v>9240</v>
      </c>
      <c r="K1053">
        <v>70840</v>
      </c>
    </row>
    <row r="1054" spans="1:11" x14ac:dyDescent="0.25">
      <c r="A1054" s="1">
        <v>45854</v>
      </c>
      <c r="B1054" t="s">
        <v>70</v>
      </c>
      <c r="C1054" t="s">
        <v>86</v>
      </c>
      <c r="D1054" t="s">
        <v>11</v>
      </c>
      <c r="E1054">
        <v>8</v>
      </c>
      <c r="F1054">
        <v>2841</v>
      </c>
      <c r="G1054">
        <v>2841</v>
      </c>
      <c r="H1054">
        <v>90</v>
      </c>
      <c r="I1054">
        <v>255690</v>
      </c>
      <c r="J1054">
        <v>38353.5</v>
      </c>
      <c r="K1054">
        <v>294043.5</v>
      </c>
    </row>
    <row r="1055" spans="1:11" x14ac:dyDescent="0.25">
      <c r="A1055" s="1">
        <v>45854</v>
      </c>
      <c r="B1055" t="s">
        <v>70</v>
      </c>
      <c r="C1055" t="s">
        <v>189</v>
      </c>
      <c r="D1055" t="s">
        <v>26</v>
      </c>
      <c r="E1055">
        <v>7</v>
      </c>
      <c r="F1055">
        <v>1837</v>
      </c>
      <c r="G1055">
        <v>1837</v>
      </c>
      <c r="H1055">
        <v>90</v>
      </c>
      <c r="I1055">
        <v>165330</v>
      </c>
      <c r="J1055">
        <v>24799.5</v>
      </c>
      <c r="K1055">
        <v>190129.5</v>
      </c>
    </row>
    <row r="1056" spans="1:11" x14ac:dyDescent="0.25">
      <c r="A1056" s="1">
        <v>45854</v>
      </c>
      <c r="B1056" t="s">
        <v>44</v>
      </c>
      <c r="C1056" t="s">
        <v>141</v>
      </c>
      <c r="D1056" t="s">
        <v>32</v>
      </c>
      <c r="E1056">
        <v>8</v>
      </c>
      <c r="F1056">
        <v>304</v>
      </c>
      <c r="G1056">
        <v>1274</v>
      </c>
      <c r="H1056">
        <v>70</v>
      </c>
      <c r="I1056">
        <v>89180</v>
      </c>
      <c r="J1056">
        <v>13377</v>
      </c>
      <c r="K1056">
        <v>102557</v>
      </c>
    </row>
    <row r="1057" spans="1:11" x14ac:dyDescent="0.25">
      <c r="A1057" s="1">
        <v>45853</v>
      </c>
      <c r="B1057" t="s">
        <v>219</v>
      </c>
      <c r="C1057" t="s">
        <v>64</v>
      </c>
      <c r="D1057" t="s">
        <v>11</v>
      </c>
      <c r="E1057">
        <v>3</v>
      </c>
      <c r="F1057">
        <v>1</v>
      </c>
      <c r="G1057">
        <v>3</v>
      </c>
      <c r="H1057" s="2">
        <v>3000</v>
      </c>
      <c r="I1057">
        <v>9000</v>
      </c>
      <c r="J1057">
        <v>1350</v>
      </c>
      <c r="K1057">
        <v>10350</v>
      </c>
    </row>
    <row r="1058" spans="1:11" x14ac:dyDescent="0.25">
      <c r="A1058" s="1">
        <v>45855</v>
      </c>
      <c r="B1058" t="s">
        <v>168</v>
      </c>
      <c r="C1058" t="s">
        <v>40</v>
      </c>
      <c r="D1058" t="s">
        <v>26</v>
      </c>
      <c r="E1058">
        <v>6</v>
      </c>
      <c r="F1058">
        <v>6</v>
      </c>
      <c r="G1058">
        <v>21.98</v>
      </c>
      <c r="H1058">
        <v>3500</v>
      </c>
      <c r="I1058">
        <v>76930</v>
      </c>
      <c r="J1058">
        <v>11539.5</v>
      </c>
      <c r="K1058">
        <v>88469.5</v>
      </c>
    </row>
    <row r="1059" spans="1:11" x14ac:dyDescent="0.25">
      <c r="A1059" s="1">
        <v>45855</v>
      </c>
      <c r="B1059" t="s">
        <v>164</v>
      </c>
      <c r="C1059" t="s">
        <v>94</v>
      </c>
      <c r="D1059" t="s">
        <v>17</v>
      </c>
      <c r="E1059">
        <v>2</v>
      </c>
      <c r="F1059">
        <v>20</v>
      </c>
      <c r="G1059">
        <v>20</v>
      </c>
      <c r="H1059">
        <v>500</v>
      </c>
      <c r="I1059">
        <v>10000</v>
      </c>
      <c r="J1059">
        <v>1500</v>
      </c>
      <c r="K1059">
        <v>11500</v>
      </c>
    </row>
    <row r="1060" spans="1:11" x14ac:dyDescent="0.25">
      <c r="A1060" s="1">
        <v>45855</v>
      </c>
      <c r="B1060" t="s">
        <v>120</v>
      </c>
      <c r="C1060" t="s">
        <v>50</v>
      </c>
      <c r="D1060" t="s">
        <v>26</v>
      </c>
      <c r="E1060">
        <v>7</v>
      </c>
      <c r="F1060">
        <v>2305</v>
      </c>
      <c r="G1060">
        <v>2305</v>
      </c>
      <c r="H1060">
        <v>5</v>
      </c>
      <c r="I1060">
        <v>11525</v>
      </c>
      <c r="J1060">
        <v>1728.75</v>
      </c>
      <c r="K1060">
        <v>13253.75</v>
      </c>
    </row>
    <row r="1061" spans="1:11" x14ac:dyDescent="0.25">
      <c r="A1061" s="1">
        <v>45855</v>
      </c>
      <c r="B1061" t="s">
        <v>20</v>
      </c>
      <c r="C1061" t="s">
        <v>121</v>
      </c>
      <c r="D1061" t="s">
        <v>32</v>
      </c>
      <c r="E1061">
        <v>6</v>
      </c>
      <c r="F1061">
        <v>2923</v>
      </c>
      <c r="G1061">
        <v>2923</v>
      </c>
      <c r="H1061">
        <v>90</v>
      </c>
      <c r="I1061">
        <v>263070</v>
      </c>
      <c r="J1061">
        <v>39460.5</v>
      </c>
      <c r="K1061">
        <v>302530.5</v>
      </c>
    </row>
    <row r="1062" spans="1:11" x14ac:dyDescent="0.25">
      <c r="A1062" s="1">
        <v>45855</v>
      </c>
      <c r="B1062" t="s">
        <v>20</v>
      </c>
      <c r="C1062" t="s">
        <v>50</v>
      </c>
      <c r="D1062" t="s">
        <v>32</v>
      </c>
      <c r="E1062">
        <v>9</v>
      </c>
      <c r="F1062">
        <v>814</v>
      </c>
      <c r="G1062">
        <v>814</v>
      </c>
      <c r="H1062">
        <v>90</v>
      </c>
      <c r="I1062">
        <v>73260</v>
      </c>
      <c r="J1062">
        <v>10989</v>
      </c>
      <c r="K1062">
        <v>84249</v>
      </c>
    </row>
    <row r="1063" spans="1:11" x14ac:dyDescent="0.25">
      <c r="A1063" s="1">
        <v>45855</v>
      </c>
      <c r="B1063" t="s">
        <v>20</v>
      </c>
      <c r="C1063" t="s">
        <v>43</v>
      </c>
      <c r="D1063" t="s">
        <v>32</v>
      </c>
      <c r="E1063">
        <v>5</v>
      </c>
      <c r="F1063">
        <v>316</v>
      </c>
      <c r="G1063">
        <v>316</v>
      </c>
      <c r="H1063">
        <v>90</v>
      </c>
      <c r="I1063">
        <v>28440</v>
      </c>
      <c r="J1063">
        <v>4266</v>
      </c>
      <c r="K1063">
        <v>32706</v>
      </c>
    </row>
    <row r="1064" spans="1:11" x14ac:dyDescent="0.25">
      <c r="A1064" s="1">
        <v>45855</v>
      </c>
      <c r="B1064" t="s">
        <v>20</v>
      </c>
      <c r="C1064" t="s">
        <v>143</v>
      </c>
      <c r="D1064" t="s">
        <v>32</v>
      </c>
      <c r="E1064">
        <v>13</v>
      </c>
      <c r="F1064">
        <v>132</v>
      </c>
      <c r="G1064">
        <v>132</v>
      </c>
      <c r="H1064">
        <v>90</v>
      </c>
      <c r="I1064">
        <v>11880</v>
      </c>
      <c r="J1064">
        <v>1782</v>
      </c>
      <c r="K1064">
        <v>13662</v>
      </c>
    </row>
    <row r="1065" spans="1:11" x14ac:dyDescent="0.25">
      <c r="A1065" s="1">
        <v>45855</v>
      </c>
      <c r="B1065" t="s">
        <v>20</v>
      </c>
      <c r="C1065" t="s">
        <v>52</v>
      </c>
      <c r="D1065" t="s">
        <v>32</v>
      </c>
      <c r="E1065">
        <v>13</v>
      </c>
      <c r="F1065">
        <v>132</v>
      </c>
      <c r="G1065">
        <v>132</v>
      </c>
      <c r="H1065">
        <v>90</v>
      </c>
      <c r="I1065">
        <v>11880</v>
      </c>
      <c r="J1065">
        <v>1782</v>
      </c>
      <c r="K1065">
        <v>13662</v>
      </c>
    </row>
    <row r="1066" spans="1:11" x14ac:dyDescent="0.25">
      <c r="A1066" s="1">
        <v>45855</v>
      </c>
      <c r="B1066" t="s">
        <v>20</v>
      </c>
      <c r="C1066" t="s">
        <v>160</v>
      </c>
      <c r="D1066" t="s">
        <v>32</v>
      </c>
      <c r="E1066">
        <v>10</v>
      </c>
      <c r="F1066">
        <v>117</v>
      </c>
      <c r="G1066">
        <v>117</v>
      </c>
      <c r="H1066">
        <v>90</v>
      </c>
      <c r="I1066">
        <v>10530</v>
      </c>
      <c r="J1066">
        <v>1579.5</v>
      </c>
      <c r="K1066">
        <v>12109.5</v>
      </c>
    </row>
    <row r="1067" spans="1:11" x14ac:dyDescent="0.25">
      <c r="A1067" s="1">
        <v>45855</v>
      </c>
      <c r="B1067" t="s">
        <v>36</v>
      </c>
      <c r="C1067" t="s">
        <v>111</v>
      </c>
      <c r="D1067" t="s">
        <v>32</v>
      </c>
      <c r="E1067">
        <v>10</v>
      </c>
      <c r="F1067">
        <v>7</v>
      </c>
      <c r="G1067">
        <v>10</v>
      </c>
      <c r="H1067">
        <v>2400</v>
      </c>
      <c r="I1067">
        <v>24000</v>
      </c>
      <c r="J1067">
        <v>3600</v>
      </c>
      <c r="K1067">
        <v>27600</v>
      </c>
    </row>
    <row r="1068" spans="1:11" x14ac:dyDescent="0.25">
      <c r="A1068" s="1">
        <v>45855</v>
      </c>
      <c r="B1068" t="s">
        <v>36</v>
      </c>
      <c r="C1068" t="s">
        <v>138</v>
      </c>
      <c r="D1068" t="s">
        <v>17</v>
      </c>
      <c r="E1068">
        <v>10</v>
      </c>
      <c r="F1068">
        <v>6</v>
      </c>
      <c r="G1068">
        <v>0.85</v>
      </c>
      <c r="H1068">
        <v>2400</v>
      </c>
      <c r="I1068">
        <v>2040</v>
      </c>
      <c r="J1068">
        <v>306</v>
      </c>
      <c r="K1068">
        <v>2346</v>
      </c>
    </row>
    <row r="1069" spans="1:11" x14ac:dyDescent="0.25">
      <c r="A1069" s="1">
        <v>45855</v>
      </c>
      <c r="B1069" t="s">
        <v>36</v>
      </c>
      <c r="C1069" t="s">
        <v>93</v>
      </c>
      <c r="D1069" t="s">
        <v>24</v>
      </c>
      <c r="E1069">
        <v>8</v>
      </c>
      <c r="F1069">
        <v>5</v>
      </c>
      <c r="G1069">
        <v>18.45</v>
      </c>
      <c r="H1069">
        <v>2400</v>
      </c>
      <c r="I1069">
        <v>44280</v>
      </c>
      <c r="J1069">
        <v>6642</v>
      </c>
      <c r="K1069">
        <v>50922</v>
      </c>
    </row>
    <row r="1070" spans="1:11" x14ac:dyDescent="0.25">
      <c r="A1070" s="1">
        <v>45836</v>
      </c>
      <c r="B1070" t="s">
        <v>42</v>
      </c>
      <c r="C1070" t="s">
        <v>96</v>
      </c>
      <c r="D1070" t="s">
        <v>19</v>
      </c>
      <c r="E1070">
        <v>2</v>
      </c>
      <c r="F1070">
        <v>123</v>
      </c>
      <c r="G1070">
        <v>200</v>
      </c>
      <c r="H1070">
        <v>70</v>
      </c>
      <c r="I1070">
        <v>14000</v>
      </c>
      <c r="J1070">
        <v>2100</v>
      </c>
      <c r="K1070">
        <v>16100</v>
      </c>
    </row>
    <row r="1071" spans="1:11" x14ac:dyDescent="0.25">
      <c r="A1071" s="1">
        <v>45855</v>
      </c>
      <c r="B1071" t="s">
        <v>42</v>
      </c>
      <c r="C1071" t="s">
        <v>72</v>
      </c>
      <c r="D1071" t="s">
        <v>19</v>
      </c>
      <c r="E1071">
        <v>7</v>
      </c>
      <c r="F1071">
        <v>113</v>
      </c>
      <c r="G1071">
        <v>113</v>
      </c>
      <c r="H1071">
        <v>70</v>
      </c>
      <c r="I1071">
        <v>7910</v>
      </c>
      <c r="J1071">
        <v>1186.5</v>
      </c>
      <c r="K1071">
        <v>9096.5</v>
      </c>
    </row>
    <row r="1072" spans="1:11" x14ac:dyDescent="0.25">
      <c r="A1072" s="1">
        <v>45855</v>
      </c>
      <c r="B1072" t="s">
        <v>42</v>
      </c>
      <c r="C1072" t="s">
        <v>121</v>
      </c>
      <c r="D1072" t="s">
        <v>32</v>
      </c>
      <c r="E1072">
        <v>6</v>
      </c>
      <c r="F1072">
        <v>610</v>
      </c>
      <c r="G1072">
        <v>610</v>
      </c>
      <c r="H1072">
        <v>70</v>
      </c>
      <c r="I1072">
        <v>42700</v>
      </c>
      <c r="J1072">
        <v>6405</v>
      </c>
      <c r="K1072">
        <v>49105</v>
      </c>
    </row>
    <row r="1073" spans="1:11" x14ac:dyDescent="0.25">
      <c r="A1073" s="1">
        <v>45831</v>
      </c>
      <c r="B1073" t="s">
        <v>42</v>
      </c>
      <c r="C1073" t="s">
        <v>21</v>
      </c>
      <c r="D1073" t="s">
        <v>26</v>
      </c>
      <c r="E1073">
        <v>10</v>
      </c>
      <c r="F1073">
        <v>573</v>
      </c>
      <c r="G1073">
        <v>573</v>
      </c>
      <c r="H1073">
        <v>70</v>
      </c>
      <c r="I1073">
        <v>40110</v>
      </c>
      <c r="J1073">
        <v>6016.5</v>
      </c>
      <c r="K1073">
        <v>46126.5</v>
      </c>
    </row>
    <row r="1074" spans="1:11" x14ac:dyDescent="0.25">
      <c r="A1074" s="1">
        <v>45855</v>
      </c>
      <c r="B1074" t="s">
        <v>44</v>
      </c>
      <c r="C1074" t="s">
        <v>38</v>
      </c>
      <c r="D1074" t="s">
        <v>88</v>
      </c>
      <c r="E1074">
        <v>2</v>
      </c>
      <c r="F1074">
        <v>108</v>
      </c>
      <c r="G1074">
        <v>108</v>
      </c>
      <c r="H1074">
        <v>70</v>
      </c>
      <c r="I1074">
        <v>7560</v>
      </c>
      <c r="J1074">
        <v>1134</v>
      </c>
      <c r="K1074">
        <v>8694</v>
      </c>
    </row>
    <row r="1075" spans="1:11" x14ac:dyDescent="0.25">
      <c r="A1075" s="1">
        <v>45855</v>
      </c>
      <c r="B1075" t="s">
        <v>224</v>
      </c>
      <c r="C1075" t="s">
        <v>67</v>
      </c>
      <c r="D1075" t="s">
        <v>19</v>
      </c>
      <c r="E1075">
        <v>1</v>
      </c>
      <c r="F1075">
        <v>1</v>
      </c>
      <c r="G1075">
        <v>3</v>
      </c>
      <c r="H1075">
        <v>3000</v>
      </c>
      <c r="I1075">
        <v>9000</v>
      </c>
      <c r="J1075">
        <v>1350</v>
      </c>
      <c r="K1075">
        <v>10350</v>
      </c>
    </row>
    <row r="1076" spans="1:11" x14ac:dyDescent="0.25">
      <c r="A1076" s="1">
        <v>45855</v>
      </c>
      <c r="B1076" t="s">
        <v>224</v>
      </c>
      <c r="C1076" t="s">
        <v>40</v>
      </c>
      <c r="D1076" t="s">
        <v>19</v>
      </c>
      <c r="E1076">
        <v>1</v>
      </c>
      <c r="F1076">
        <v>1</v>
      </c>
      <c r="G1076">
        <v>3</v>
      </c>
      <c r="H1076">
        <v>3000</v>
      </c>
      <c r="I1076">
        <v>9000</v>
      </c>
      <c r="J1076">
        <v>1350</v>
      </c>
      <c r="K1076">
        <v>10350</v>
      </c>
    </row>
    <row r="1077" spans="1:11" x14ac:dyDescent="0.25">
      <c r="A1077" s="1">
        <v>45855</v>
      </c>
      <c r="B1077" t="s">
        <v>224</v>
      </c>
      <c r="C1077" t="s">
        <v>81</v>
      </c>
      <c r="D1077" t="s">
        <v>19</v>
      </c>
      <c r="E1077">
        <v>0</v>
      </c>
      <c r="F1077">
        <v>11</v>
      </c>
      <c r="G1077">
        <v>3</v>
      </c>
      <c r="H1077">
        <v>3000</v>
      </c>
      <c r="I1077">
        <v>9000</v>
      </c>
      <c r="J1077">
        <v>1350</v>
      </c>
      <c r="K1077">
        <v>10350</v>
      </c>
    </row>
    <row r="1078" spans="1:11" x14ac:dyDescent="0.25">
      <c r="A1078" s="1">
        <v>45855</v>
      </c>
      <c r="B1078" t="s">
        <v>224</v>
      </c>
      <c r="C1078" t="s">
        <v>86</v>
      </c>
      <c r="D1078" t="s">
        <v>19</v>
      </c>
      <c r="E1078">
        <v>0</v>
      </c>
      <c r="F1078">
        <v>1</v>
      </c>
      <c r="G1078">
        <v>3</v>
      </c>
      <c r="H1078">
        <v>3000</v>
      </c>
      <c r="I1078">
        <v>9000</v>
      </c>
      <c r="J1078">
        <v>1350</v>
      </c>
      <c r="K1078">
        <v>10350</v>
      </c>
    </row>
    <row r="1079" spans="1:11" x14ac:dyDescent="0.25">
      <c r="A1079" s="1">
        <v>45855</v>
      </c>
      <c r="B1079" t="s">
        <v>224</v>
      </c>
      <c r="C1079" t="s">
        <v>47</v>
      </c>
      <c r="D1079" t="s">
        <v>19</v>
      </c>
      <c r="E1079">
        <v>0</v>
      </c>
      <c r="F1079">
        <v>1</v>
      </c>
      <c r="G1079">
        <v>4</v>
      </c>
      <c r="H1079">
        <v>3000</v>
      </c>
      <c r="I1079">
        <v>12000</v>
      </c>
      <c r="J1079">
        <v>1800</v>
      </c>
      <c r="K1079">
        <v>13800</v>
      </c>
    </row>
    <row r="1080" spans="1:11" x14ac:dyDescent="0.25">
      <c r="A1080" s="1">
        <v>45855</v>
      </c>
      <c r="B1080" t="s">
        <v>224</v>
      </c>
      <c r="C1080" t="s">
        <v>49</v>
      </c>
      <c r="D1080" t="s">
        <v>19</v>
      </c>
      <c r="E1080">
        <v>0</v>
      </c>
      <c r="F1080">
        <v>1</v>
      </c>
      <c r="G1080">
        <v>4</v>
      </c>
      <c r="H1080">
        <v>3000</v>
      </c>
      <c r="I1080">
        <v>12000</v>
      </c>
      <c r="J1080">
        <v>1800</v>
      </c>
      <c r="K1080">
        <v>13800</v>
      </c>
    </row>
    <row r="1081" spans="1:11" x14ac:dyDescent="0.25">
      <c r="A1081" s="1">
        <v>45855</v>
      </c>
      <c r="B1081" t="s">
        <v>224</v>
      </c>
      <c r="C1081" t="s">
        <v>28</v>
      </c>
      <c r="D1081" t="s">
        <v>19</v>
      </c>
      <c r="E1081">
        <v>1</v>
      </c>
      <c r="F1081">
        <v>1</v>
      </c>
      <c r="G1081">
        <v>1</v>
      </c>
      <c r="H1081">
        <v>4000</v>
      </c>
      <c r="I1081">
        <v>4000</v>
      </c>
      <c r="J1081">
        <v>600</v>
      </c>
      <c r="K1081">
        <v>4600</v>
      </c>
    </row>
    <row r="1082" spans="1:11" x14ac:dyDescent="0.25">
      <c r="A1082" s="1">
        <v>45855</v>
      </c>
      <c r="B1082" t="s">
        <v>224</v>
      </c>
      <c r="C1082" t="s">
        <v>126</v>
      </c>
      <c r="D1082" t="s">
        <v>19</v>
      </c>
      <c r="E1082">
        <v>1</v>
      </c>
      <c r="F1082">
        <v>1</v>
      </c>
      <c r="G1082">
        <v>1</v>
      </c>
      <c r="H1082">
        <v>4000</v>
      </c>
      <c r="I1082">
        <v>4000</v>
      </c>
      <c r="J1082">
        <v>600</v>
      </c>
      <c r="K1082">
        <v>4600</v>
      </c>
    </row>
    <row r="1083" spans="1:11" x14ac:dyDescent="0.25">
      <c r="A1083" s="1">
        <v>45855</v>
      </c>
      <c r="B1083" t="s">
        <v>144</v>
      </c>
      <c r="C1083" t="s">
        <v>64</v>
      </c>
      <c r="D1083" t="s">
        <v>32</v>
      </c>
      <c r="E1083">
        <v>18</v>
      </c>
      <c r="F1083">
        <v>1229</v>
      </c>
      <c r="G1083">
        <v>1229</v>
      </c>
      <c r="H1083">
        <v>100</v>
      </c>
      <c r="I1083">
        <v>122900</v>
      </c>
      <c r="J1083">
        <v>18435</v>
      </c>
      <c r="K1083">
        <v>141335</v>
      </c>
    </row>
    <row r="1084" spans="1:11" x14ac:dyDescent="0.25">
      <c r="A1084" s="1">
        <v>45855</v>
      </c>
      <c r="B1084" t="s">
        <v>122</v>
      </c>
      <c r="C1084" t="s">
        <v>37</v>
      </c>
      <c r="D1084" t="s">
        <v>24</v>
      </c>
      <c r="E1084">
        <v>6</v>
      </c>
      <c r="F1084">
        <v>3</v>
      </c>
      <c r="G1084">
        <v>3</v>
      </c>
      <c r="H1084">
        <v>90</v>
      </c>
      <c r="I1084">
        <v>270</v>
      </c>
      <c r="J1084">
        <v>40.5</v>
      </c>
      <c r="K1084">
        <v>310.5</v>
      </c>
    </row>
    <row r="1085" spans="1:11" x14ac:dyDescent="0.25">
      <c r="A1085" s="1">
        <v>45855</v>
      </c>
      <c r="B1085" t="s">
        <v>36</v>
      </c>
      <c r="C1085" t="s">
        <v>78</v>
      </c>
      <c r="D1085" t="s">
        <v>32</v>
      </c>
      <c r="E1085">
        <v>10</v>
      </c>
      <c r="F1085">
        <v>16</v>
      </c>
      <c r="G1085">
        <v>19.45</v>
      </c>
      <c r="H1085">
        <v>2400</v>
      </c>
      <c r="I1085">
        <v>46680</v>
      </c>
      <c r="J1085">
        <v>7002</v>
      </c>
      <c r="K1085">
        <v>53682</v>
      </c>
    </row>
    <row r="1086" spans="1:11" x14ac:dyDescent="0.25">
      <c r="A1086" s="1">
        <v>45855</v>
      </c>
      <c r="B1086" t="s">
        <v>36</v>
      </c>
      <c r="C1086" t="s">
        <v>132</v>
      </c>
      <c r="D1086" t="s">
        <v>32</v>
      </c>
      <c r="E1086">
        <v>10</v>
      </c>
      <c r="F1086">
        <v>17</v>
      </c>
      <c r="G1086">
        <v>10</v>
      </c>
      <c r="H1086">
        <v>2400</v>
      </c>
      <c r="I1086">
        <v>24000</v>
      </c>
      <c r="J1086">
        <v>3600</v>
      </c>
      <c r="K1086">
        <v>27600</v>
      </c>
    </row>
    <row r="1087" spans="1:11" x14ac:dyDescent="0.25">
      <c r="A1087" s="1">
        <v>45855</v>
      </c>
      <c r="B1087" t="s">
        <v>36</v>
      </c>
      <c r="C1087" t="s">
        <v>155</v>
      </c>
      <c r="D1087" t="s">
        <v>32</v>
      </c>
      <c r="E1087">
        <v>15</v>
      </c>
      <c r="F1087">
        <v>11</v>
      </c>
      <c r="G1087">
        <v>7.63</v>
      </c>
      <c r="H1087">
        <v>2400</v>
      </c>
      <c r="I1087">
        <v>18312</v>
      </c>
      <c r="J1087">
        <v>2746.8</v>
      </c>
      <c r="K1087">
        <v>21058.799999999999</v>
      </c>
    </row>
    <row r="1088" spans="1:11" x14ac:dyDescent="0.25">
      <c r="A1088" s="1">
        <v>45855</v>
      </c>
      <c r="B1088" t="s">
        <v>122</v>
      </c>
      <c r="C1088" t="s">
        <v>43</v>
      </c>
      <c r="D1088" t="s">
        <v>17</v>
      </c>
      <c r="E1088">
        <v>4</v>
      </c>
      <c r="F1088">
        <v>183</v>
      </c>
      <c r="G1088">
        <v>183</v>
      </c>
      <c r="H1088">
        <v>90</v>
      </c>
      <c r="I1088">
        <v>16470</v>
      </c>
      <c r="J1088">
        <v>2470.5</v>
      </c>
      <c r="K1088">
        <v>18940.5</v>
      </c>
    </row>
    <row r="1089" spans="1:11" x14ac:dyDescent="0.25">
      <c r="A1089" s="1">
        <v>45855</v>
      </c>
      <c r="B1089" t="s">
        <v>122</v>
      </c>
      <c r="C1089" t="s">
        <v>25</v>
      </c>
      <c r="D1089" t="s">
        <v>17</v>
      </c>
      <c r="E1089">
        <v>4</v>
      </c>
      <c r="F1089">
        <v>30</v>
      </c>
      <c r="G1089">
        <v>30</v>
      </c>
      <c r="H1089">
        <v>90</v>
      </c>
      <c r="I1089">
        <v>2700</v>
      </c>
      <c r="J1089">
        <v>405</v>
      </c>
      <c r="K1089">
        <v>3105</v>
      </c>
    </row>
    <row r="1090" spans="1:11" x14ac:dyDescent="0.25">
      <c r="A1090" s="1">
        <v>45855</v>
      </c>
      <c r="B1090" t="s">
        <v>122</v>
      </c>
      <c r="C1090" t="s">
        <v>37</v>
      </c>
      <c r="D1090" t="s">
        <v>17</v>
      </c>
      <c r="E1090">
        <v>4</v>
      </c>
      <c r="F1090">
        <v>20</v>
      </c>
      <c r="G1090">
        <v>20</v>
      </c>
      <c r="H1090">
        <v>90</v>
      </c>
      <c r="I1090">
        <v>1800</v>
      </c>
      <c r="J1090">
        <v>270</v>
      </c>
      <c r="K1090">
        <v>2070</v>
      </c>
    </row>
    <row r="1091" spans="1:11" x14ac:dyDescent="0.25">
      <c r="A1091" s="1">
        <v>45855</v>
      </c>
      <c r="B1091" t="s">
        <v>122</v>
      </c>
      <c r="C1091" t="s">
        <v>72</v>
      </c>
      <c r="D1091" t="s">
        <v>17</v>
      </c>
      <c r="E1091">
        <v>4</v>
      </c>
      <c r="F1091">
        <v>33</v>
      </c>
      <c r="G1091">
        <v>33</v>
      </c>
      <c r="H1091">
        <v>90</v>
      </c>
      <c r="I1091">
        <v>2970</v>
      </c>
      <c r="J1091">
        <v>445.5</v>
      </c>
      <c r="K1091">
        <v>3415.5</v>
      </c>
    </row>
    <row r="1092" spans="1:11" x14ac:dyDescent="0.25">
      <c r="A1092" s="1">
        <v>45855</v>
      </c>
      <c r="B1092" t="s">
        <v>122</v>
      </c>
      <c r="C1092" t="s">
        <v>85</v>
      </c>
      <c r="D1092" t="s">
        <v>17</v>
      </c>
      <c r="E1092">
        <v>4</v>
      </c>
      <c r="F1092">
        <v>85</v>
      </c>
      <c r="G1092">
        <v>85</v>
      </c>
      <c r="H1092">
        <v>90</v>
      </c>
      <c r="I1092">
        <v>7650</v>
      </c>
      <c r="J1092">
        <v>1147.5</v>
      </c>
      <c r="K1092">
        <v>8797.5</v>
      </c>
    </row>
    <row r="1093" spans="1:11" x14ac:dyDescent="0.25">
      <c r="A1093" s="1">
        <v>45855</v>
      </c>
      <c r="B1093" t="s">
        <v>122</v>
      </c>
      <c r="C1093" t="s">
        <v>21</v>
      </c>
      <c r="D1093" t="s">
        <v>17</v>
      </c>
      <c r="E1093">
        <v>4</v>
      </c>
      <c r="F1093">
        <v>75</v>
      </c>
      <c r="G1093">
        <v>311</v>
      </c>
      <c r="H1093">
        <v>90</v>
      </c>
      <c r="I1093">
        <v>27990</v>
      </c>
      <c r="J1093">
        <v>4198.5</v>
      </c>
      <c r="K1093">
        <v>32188.5</v>
      </c>
    </row>
    <row r="1094" spans="1:11" x14ac:dyDescent="0.25">
      <c r="A1094" s="1">
        <v>45855</v>
      </c>
      <c r="B1094" t="s">
        <v>122</v>
      </c>
      <c r="C1094" t="s">
        <v>25</v>
      </c>
      <c r="D1094" t="s">
        <v>17</v>
      </c>
      <c r="E1094">
        <v>4</v>
      </c>
      <c r="F1094">
        <v>6</v>
      </c>
      <c r="G1094">
        <v>6</v>
      </c>
      <c r="H1094">
        <v>90</v>
      </c>
      <c r="I1094">
        <v>540</v>
      </c>
      <c r="J1094">
        <v>81</v>
      </c>
      <c r="K1094">
        <v>621</v>
      </c>
    </row>
    <row r="1095" spans="1:11" x14ac:dyDescent="0.25">
      <c r="A1095" s="1">
        <v>45855</v>
      </c>
      <c r="B1095" t="s">
        <v>122</v>
      </c>
      <c r="C1095" t="s">
        <v>23</v>
      </c>
      <c r="D1095" t="s">
        <v>17</v>
      </c>
      <c r="E1095">
        <v>4</v>
      </c>
      <c r="F1095">
        <v>2</v>
      </c>
      <c r="G1095">
        <v>2</v>
      </c>
      <c r="H1095">
        <v>90</v>
      </c>
      <c r="I1095">
        <v>180</v>
      </c>
      <c r="J1095">
        <v>27</v>
      </c>
      <c r="K1095">
        <v>207</v>
      </c>
    </row>
    <row r="1096" spans="1:11" x14ac:dyDescent="0.25">
      <c r="A1096" s="1">
        <v>45855</v>
      </c>
      <c r="B1096" t="s">
        <v>122</v>
      </c>
      <c r="C1096" t="s">
        <v>66</v>
      </c>
      <c r="D1096" t="s">
        <v>17</v>
      </c>
      <c r="E1096">
        <v>4</v>
      </c>
      <c r="F1096">
        <v>151</v>
      </c>
      <c r="G1096">
        <v>151</v>
      </c>
      <c r="H1096">
        <v>90</v>
      </c>
      <c r="I1096">
        <v>13590</v>
      </c>
      <c r="J1096">
        <v>2038.5</v>
      </c>
      <c r="K1096">
        <v>15628.5</v>
      </c>
    </row>
    <row r="1097" spans="1:11" x14ac:dyDescent="0.25">
      <c r="A1097" s="1">
        <v>45855</v>
      </c>
      <c r="B1097" t="s">
        <v>122</v>
      </c>
      <c r="C1097" t="s">
        <v>143</v>
      </c>
      <c r="D1097" t="s">
        <v>17</v>
      </c>
      <c r="E1097">
        <v>4</v>
      </c>
      <c r="F1097">
        <v>87</v>
      </c>
      <c r="G1097">
        <v>87</v>
      </c>
      <c r="H1097">
        <v>90</v>
      </c>
      <c r="I1097">
        <v>7830</v>
      </c>
      <c r="J1097">
        <v>1174.5</v>
      </c>
      <c r="K1097">
        <v>9004.5</v>
      </c>
    </row>
    <row r="1098" spans="1:11" x14ac:dyDescent="0.25">
      <c r="A1098" s="1">
        <v>45855</v>
      </c>
      <c r="B1098" t="s">
        <v>122</v>
      </c>
      <c r="C1098" t="s">
        <v>106</v>
      </c>
      <c r="D1098" t="s">
        <v>17</v>
      </c>
      <c r="E1098">
        <v>4</v>
      </c>
      <c r="F1098">
        <v>194</v>
      </c>
      <c r="G1098">
        <v>194</v>
      </c>
      <c r="H1098">
        <v>90</v>
      </c>
      <c r="I1098">
        <v>17460</v>
      </c>
      <c r="J1098">
        <v>2619</v>
      </c>
      <c r="K1098">
        <v>20079</v>
      </c>
    </row>
    <row r="1099" spans="1:11" x14ac:dyDescent="0.25">
      <c r="A1099" s="1">
        <v>45855</v>
      </c>
      <c r="B1099" t="s">
        <v>122</v>
      </c>
      <c r="C1099" t="s">
        <v>50</v>
      </c>
      <c r="D1099" t="s">
        <v>17</v>
      </c>
      <c r="E1099">
        <v>4</v>
      </c>
      <c r="F1099">
        <v>202</v>
      </c>
      <c r="G1099">
        <v>202</v>
      </c>
      <c r="H1099">
        <v>90</v>
      </c>
      <c r="I1099">
        <v>18180</v>
      </c>
      <c r="J1099">
        <v>2727</v>
      </c>
      <c r="K1099">
        <v>20907</v>
      </c>
    </row>
    <row r="1100" spans="1:11" x14ac:dyDescent="0.25">
      <c r="A1100" s="1">
        <v>45855</v>
      </c>
      <c r="B1100" t="s">
        <v>204</v>
      </c>
      <c r="C1100" t="s">
        <v>207</v>
      </c>
      <c r="D1100" t="s">
        <v>17</v>
      </c>
      <c r="E1100">
        <v>4</v>
      </c>
      <c r="F1100">
        <v>285</v>
      </c>
      <c r="G1100">
        <v>285</v>
      </c>
      <c r="H1100">
        <v>100</v>
      </c>
      <c r="I1100">
        <v>28500</v>
      </c>
      <c r="J1100">
        <v>4275</v>
      </c>
      <c r="K1100">
        <v>32775</v>
      </c>
    </row>
    <row r="1101" spans="1:11" x14ac:dyDescent="0.25">
      <c r="A1101" s="1">
        <v>45855</v>
      </c>
      <c r="B1101" t="s">
        <v>44</v>
      </c>
      <c r="C1101" t="s">
        <v>23</v>
      </c>
      <c r="D1101" t="s">
        <v>108</v>
      </c>
      <c r="E1101">
        <v>5</v>
      </c>
      <c r="F1101">
        <v>339</v>
      </c>
      <c r="G1101">
        <v>339</v>
      </c>
      <c r="H1101">
        <v>70</v>
      </c>
      <c r="I1101">
        <v>23730</v>
      </c>
      <c r="J1101">
        <v>3559.5</v>
      </c>
      <c r="K1101">
        <v>27289.5</v>
      </c>
    </row>
    <row r="1102" spans="1:11" x14ac:dyDescent="0.25">
      <c r="A1102" s="1">
        <v>45855</v>
      </c>
      <c r="B1102" t="s">
        <v>44</v>
      </c>
      <c r="C1102" t="s">
        <v>40</v>
      </c>
      <c r="D1102" t="s">
        <v>108</v>
      </c>
      <c r="E1102">
        <v>5</v>
      </c>
      <c r="F1102">
        <v>240</v>
      </c>
      <c r="G1102">
        <v>240</v>
      </c>
      <c r="H1102">
        <v>70</v>
      </c>
      <c r="I1102">
        <v>16800</v>
      </c>
      <c r="J1102">
        <v>2520</v>
      </c>
      <c r="K1102">
        <v>19320</v>
      </c>
    </row>
    <row r="1103" spans="1:11" x14ac:dyDescent="0.25">
      <c r="A1103" s="1">
        <v>45854</v>
      </c>
      <c r="B1103" t="s">
        <v>44</v>
      </c>
      <c r="C1103" t="s">
        <v>45</v>
      </c>
      <c r="D1103" t="s">
        <v>32</v>
      </c>
      <c r="E1103">
        <v>7</v>
      </c>
      <c r="F1103">
        <v>1148</v>
      </c>
      <c r="G1103">
        <v>865</v>
      </c>
      <c r="H1103">
        <v>70</v>
      </c>
      <c r="I1103">
        <v>60550</v>
      </c>
      <c r="J1103">
        <v>9082.5</v>
      </c>
      <c r="K1103">
        <v>69632.5</v>
      </c>
    </row>
    <row r="1104" spans="1:11" x14ac:dyDescent="0.25">
      <c r="A1104" s="1">
        <v>45854</v>
      </c>
      <c r="B1104" t="s">
        <v>44</v>
      </c>
      <c r="C1104" t="s">
        <v>146</v>
      </c>
      <c r="D1104" t="s">
        <v>32</v>
      </c>
      <c r="E1104">
        <v>6</v>
      </c>
      <c r="F1104">
        <v>604</v>
      </c>
      <c r="G1104">
        <v>1050</v>
      </c>
      <c r="H1104">
        <v>70</v>
      </c>
      <c r="I1104">
        <v>73500</v>
      </c>
      <c r="J1104">
        <v>11025</v>
      </c>
      <c r="K1104">
        <v>84525</v>
      </c>
    </row>
    <row r="1105" spans="1:11" x14ac:dyDescent="0.25">
      <c r="A1105" s="1">
        <v>45838</v>
      </c>
      <c r="B1105" t="s">
        <v>44</v>
      </c>
      <c r="C1105" t="s">
        <v>157</v>
      </c>
      <c r="D1105" t="s">
        <v>32</v>
      </c>
      <c r="E1105">
        <v>5</v>
      </c>
      <c r="F1105">
        <v>1626</v>
      </c>
      <c r="G1105">
        <v>404</v>
      </c>
      <c r="H1105">
        <v>70</v>
      </c>
      <c r="I1105">
        <v>28280</v>
      </c>
      <c r="J1105">
        <v>4242</v>
      </c>
      <c r="K1105">
        <v>32522</v>
      </c>
    </row>
    <row r="1106" spans="1:11" x14ac:dyDescent="0.25">
      <c r="A1106" s="1">
        <v>45839</v>
      </c>
      <c r="B1106" t="s">
        <v>44</v>
      </c>
      <c r="C1106" t="s">
        <v>35</v>
      </c>
      <c r="D1106" t="s">
        <v>32</v>
      </c>
      <c r="E1106">
        <v>26</v>
      </c>
      <c r="F1106">
        <v>2266</v>
      </c>
      <c r="G1106">
        <v>870</v>
      </c>
      <c r="H1106">
        <v>70</v>
      </c>
      <c r="I1106">
        <v>60900</v>
      </c>
      <c r="J1106">
        <v>9135</v>
      </c>
      <c r="K1106">
        <v>70035</v>
      </c>
    </row>
    <row r="1107" spans="1:11" x14ac:dyDescent="0.25">
      <c r="A1107" s="1">
        <v>45841</v>
      </c>
      <c r="B1107" t="s">
        <v>44</v>
      </c>
      <c r="C1107" t="s">
        <v>55</v>
      </c>
      <c r="D1107" t="s">
        <v>32</v>
      </c>
      <c r="E1107">
        <v>20</v>
      </c>
      <c r="F1107">
        <v>2521</v>
      </c>
      <c r="G1107">
        <v>1199</v>
      </c>
      <c r="H1107">
        <v>70</v>
      </c>
      <c r="I1107">
        <v>83930</v>
      </c>
      <c r="J1107">
        <v>12589.5</v>
      </c>
      <c r="K1107">
        <v>96519.5</v>
      </c>
    </row>
    <row r="1108" spans="1:11" x14ac:dyDescent="0.25">
      <c r="A1108" s="1">
        <v>45854</v>
      </c>
      <c r="B1108" t="s">
        <v>44</v>
      </c>
      <c r="C1108" t="s">
        <v>41</v>
      </c>
      <c r="D1108" t="s">
        <v>32</v>
      </c>
      <c r="E1108">
        <v>3</v>
      </c>
      <c r="F1108">
        <v>542</v>
      </c>
      <c r="G1108">
        <v>480</v>
      </c>
      <c r="H1108">
        <v>70</v>
      </c>
      <c r="I1108">
        <v>33600</v>
      </c>
      <c r="J1108">
        <v>5040</v>
      </c>
      <c r="K1108">
        <v>38640</v>
      </c>
    </row>
    <row r="1109" spans="1:11" x14ac:dyDescent="0.25">
      <c r="A1109" s="1">
        <v>45854</v>
      </c>
      <c r="B1109" t="s">
        <v>44</v>
      </c>
      <c r="C1109" t="s">
        <v>23</v>
      </c>
      <c r="D1109" t="s">
        <v>32</v>
      </c>
      <c r="E1109">
        <v>4</v>
      </c>
      <c r="F1109">
        <v>493</v>
      </c>
      <c r="G1109">
        <v>429</v>
      </c>
      <c r="H1109">
        <v>70</v>
      </c>
      <c r="I1109">
        <v>30030</v>
      </c>
      <c r="J1109">
        <v>4504.5</v>
      </c>
      <c r="K1109">
        <v>34534.5</v>
      </c>
    </row>
    <row r="1110" spans="1:11" x14ac:dyDescent="0.25">
      <c r="A1110" s="1">
        <v>45836</v>
      </c>
      <c r="B1110" t="s">
        <v>44</v>
      </c>
      <c r="C1110" t="s">
        <v>29</v>
      </c>
      <c r="D1110" t="s">
        <v>32</v>
      </c>
      <c r="E1110">
        <v>4</v>
      </c>
      <c r="F1110">
        <v>480</v>
      </c>
      <c r="G1110">
        <v>619</v>
      </c>
      <c r="H1110">
        <v>70</v>
      </c>
      <c r="I1110">
        <v>43330</v>
      </c>
      <c r="J1110">
        <v>6499.5</v>
      </c>
      <c r="K1110">
        <v>49829.5</v>
      </c>
    </row>
    <row r="1111" spans="1:11" x14ac:dyDescent="0.25">
      <c r="A1111" s="1">
        <v>45857</v>
      </c>
      <c r="B1111" t="s">
        <v>44</v>
      </c>
      <c r="C1111" t="s">
        <v>13</v>
      </c>
      <c r="D1111" t="s">
        <v>32</v>
      </c>
      <c r="E1111">
        <v>4</v>
      </c>
      <c r="F1111">
        <v>5</v>
      </c>
      <c r="G1111">
        <v>2062</v>
      </c>
      <c r="H1111">
        <v>70</v>
      </c>
      <c r="I1111">
        <v>144340</v>
      </c>
      <c r="J1111">
        <v>21651</v>
      </c>
      <c r="K1111">
        <v>165991</v>
      </c>
    </row>
    <row r="1112" spans="1:11" x14ac:dyDescent="0.25">
      <c r="A1112" s="1">
        <v>45832</v>
      </c>
      <c r="B1112" t="s">
        <v>44</v>
      </c>
      <c r="C1112" t="s">
        <v>29</v>
      </c>
      <c r="D1112" t="s">
        <v>32</v>
      </c>
      <c r="E1112">
        <v>9</v>
      </c>
      <c r="F1112">
        <v>865</v>
      </c>
      <c r="G1112">
        <v>987</v>
      </c>
      <c r="H1112">
        <v>70</v>
      </c>
      <c r="I1112">
        <v>69090</v>
      </c>
      <c r="J1112">
        <v>10363.5</v>
      </c>
      <c r="K1112">
        <v>79453.5</v>
      </c>
    </row>
    <row r="1113" spans="1:11" x14ac:dyDescent="0.25">
      <c r="A1113" s="1">
        <v>45832</v>
      </c>
      <c r="B1113" t="s">
        <v>44</v>
      </c>
      <c r="C1113" t="s">
        <v>81</v>
      </c>
      <c r="D1113" t="s">
        <v>32</v>
      </c>
      <c r="E1113">
        <v>19</v>
      </c>
      <c r="F1113">
        <v>870</v>
      </c>
      <c r="G1113">
        <v>2521</v>
      </c>
      <c r="H1113">
        <v>70</v>
      </c>
      <c r="I1113">
        <v>176470</v>
      </c>
      <c r="J1113">
        <v>26470.5</v>
      </c>
      <c r="K1113">
        <v>202940.5</v>
      </c>
    </row>
    <row r="1114" spans="1:11" x14ac:dyDescent="0.25">
      <c r="A1114" s="1">
        <v>45832</v>
      </c>
      <c r="B1114" t="s">
        <v>44</v>
      </c>
      <c r="C1114" t="s">
        <v>99</v>
      </c>
      <c r="D1114" t="s">
        <v>32</v>
      </c>
      <c r="E1114">
        <v>19</v>
      </c>
      <c r="F1114">
        <v>870</v>
      </c>
      <c r="G1114">
        <v>2994</v>
      </c>
      <c r="H1114">
        <v>70</v>
      </c>
      <c r="I1114">
        <v>209580</v>
      </c>
      <c r="J1114">
        <v>31437</v>
      </c>
      <c r="K1114">
        <v>241017</v>
      </c>
    </row>
    <row r="1115" spans="1:11" x14ac:dyDescent="0.25">
      <c r="A1115" s="1">
        <v>45832</v>
      </c>
      <c r="B1115" t="s">
        <v>44</v>
      </c>
      <c r="C1115" t="s">
        <v>21</v>
      </c>
      <c r="D1115" t="s">
        <v>32</v>
      </c>
      <c r="E1115">
        <v>19</v>
      </c>
      <c r="F1115">
        <v>870</v>
      </c>
      <c r="G1115">
        <v>2880</v>
      </c>
      <c r="H1115">
        <v>70</v>
      </c>
      <c r="I1115">
        <v>201600</v>
      </c>
      <c r="J1115">
        <v>30240</v>
      </c>
      <c r="K1115">
        <v>231840</v>
      </c>
    </row>
    <row r="1116" spans="1:11" x14ac:dyDescent="0.25">
      <c r="A1116" s="1">
        <v>45832</v>
      </c>
      <c r="B1116" t="s">
        <v>44</v>
      </c>
      <c r="C1116" t="s">
        <v>100</v>
      </c>
      <c r="D1116" t="s">
        <v>32</v>
      </c>
      <c r="E1116">
        <v>19</v>
      </c>
      <c r="F1116">
        <v>870</v>
      </c>
      <c r="G1116">
        <v>930</v>
      </c>
      <c r="H1116">
        <v>70</v>
      </c>
      <c r="I1116">
        <v>65100</v>
      </c>
      <c r="J1116">
        <v>9765</v>
      </c>
      <c r="K1116">
        <v>74865</v>
      </c>
    </row>
    <row r="1117" spans="1:11" x14ac:dyDescent="0.25">
      <c r="A1117" s="1">
        <v>45832</v>
      </c>
      <c r="B1117" t="s">
        <v>44</v>
      </c>
      <c r="C1117" t="s">
        <v>96</v>
      </c>
      <c r="D1117" t="s">
        <v>32</v>
      </c>
      <c r="E1117">
        <v>19</v>
      </c>
      <c r="F1117">
        <v>870</v>
      </c>
      <c r="G1117">
        <v>1470</v>
      </c>
      <c r="H1117">
        <v>70</v>
      </c>
      <c r="I1117">
        <v>102900</v>
      </c>
      <c r="J1117">
        <v>15435</v>
      </c>
      <c r="K1117">
        <v>118335</v>
      </c>
    </row>
    <row r="1118" spans="1:11" x14ac:dyDescent="0.25">
      <c r="A1118" s="1">
        <v>45832</v>
      </c>
      <c r="B1118" t="s">
        <v>44</v>
      </c>
      <c r="C1118" t="s">
        <v>84</v>
      </c>
      <c r="D1118" t="s">
        <v>32</v>
      </c>
      <c r="E1118">
        <v>19</v>
      </c>
      <c r="F1118">
        <v>870</v>
      </c>
      <c r="G1118">
        <v>1035</v>
      </c>
      <c r="H1118">
        <v>70</v>
      </c>
      <c r="I1118">
        <v>72450</v>
      </c>
      <c r="J1118">
        <v>10867.5</v>
      </c>
      <c r="K1118">
        <v>83317.5</v>
      </c>
    </row>
    <row r="1119" spans="1:11" x14ac:dyDescent="0.25">
      <c r="A1119" s="1">
        <v>45832</v>
      </c>
      <c r="B1119" t="s">
        <v>44</v>
      </c>
      <c r="C1119" t="s">
        <v>225</v>
      </c>
      <c r="D1119" t="s">
        <v>32</v>
      </c>
      <c r="E1119">
        <v>19</v>
      </c>
      <c r="F1119">
        <v>870</v>
      </c>
      <c r="G1119">
        <v>1031</v>
      </c>
      <c r="H1119">
        <v>70</v>
      </c>
      <c r="I1119">
        <v>72170</v>
      </c>
      <c r="J1119">
        <v>10825.5</v>
      </c>
      <c r="K1119">
        <v>82995.5</v>
      </c>
    </row>
    <row r="1120" spans="1:11" x14ac:dyDescent="0.25">
      <c r="A1120" s="1">
        <v>45832</v>
      </c>
      <c r="B1120" t="s">
        <v>44</v>
      </c>
      <c r="C1120" t="s">
        <v>67</v>
      </c>
      <c r="D1120" t="s">
        <v>32</v>
      </c>
      <c r="E1120">
        <v>19</v>
      </c>
      <c r="F1120">
        <v>870</v>
      </c>
      <c r="G1120">
        <v>272</v>
      </c>
      <c r="H1120">
        <v>70</v>
      </c>
      <c r="I1120">
        <v>19040</v>
      </c>
      <c r="J1120">
        <v>2856</v>
      </c>
      <c r="K1120">
        <v>21896</v>
      </c>
    </row>
    <row r="1121" spans="1:11" x14ac:dyDescent="0.25">
      <c r="A1121" s="1">
        <v>45832</v>
      </c>
      <c r="B1121" t="s">
        <v>44</v>
      </c>
      <c r="C1121" t="s">
        <v>114</v>
      </c>
      <c r="D1121" t="s">
        <v>32</v>
      </c>
      <c r="E1121">
        <v>19</v>
      </c>
      <c r="F1121">
        <v>870</v>
      </c>
      <c r="G1121">
        <v>2179</v>
      </c>
      <c r="H1121">
        <v>70</v>
      </c>
      <c r="I1121">
        <v>152530</v>
      </c>
      <c r="J1121">
        <v>22879.5</v>
      </c>
      <c r="K1121">
        <v>175409.5</v>
      </c>
    </row>
    <row r="1122" spans="1:11" x14ac:dyDescent="0.25">
      <c r="A1122" s="1">
        <v>45832</v>
      </c>
      <c r="B1122" t="s">
        <v>44</v>
      </c>
      <c r="C1122" t="s">
        <v>40</v>
      </c>
      <c r="D1122" t="s">
        <v>32</v>
      </c>
      <c r="E1122">
        <v>19</v>
      </c>
      <c r="F1122">
        <v>870</v>
      </c>
      <c r="G1122">
        <v>1270</v>
      </c>
      <c r="H1122">
        <v>70</v>
      </c>
      <c r="I1122">
        <v>88900</v>
      </c>
      <c r="J1122">
        <v>13335</v>
      </c>
      <c r="K1122">
        <v>102235</v>
      </c>
    </row>
    <row r="1123" spans="1:11" x14ac:dyDescent="0.25">
      <c r="A1123" s="1">
        <v>45832</v>
      </c>
      <c r="B1123" t="s">
        <v>44</v>
      </c>
      <c r="C1123" t="s">
        <v>53</v>
      </c>
      <c r="D1123" t="s">
        <v>32</v>
      </c>
      <c r="E1123">
        <v>19</v>
      </c>
      <c r="F1123">
        <v>870</v>
      </c>
      <c r="G1123">
        <v>1148</v>
      </c>
      <c r="H1123">
        <v>70</v>
      </c>
      <c r="I1123">
        <v>80360</v>
      </c>
      <c r="J1123">
        <v>12054</v>
      </c>
      <c r="K1123">
        <v>92414</v>
      </c>
    </row>
    <row r="1124" spans="1:11" x14ac:dyDescent="0.25">
      <c r="A1124" s="1">
        <v>45832</v>
      </c>
      <c r="B1124" t="s">
        <v>44</v>
      </c>
      <c r="C1124" t="s">
        <v>72</v>
      </c>
      <c r="D1124" t="s">
        <v>32</v>
      </c>
      <c r="E1124">
        <v>19</v>
      </c>
      <c r="F1124">
        <v>870</v>
      </c>
      <c r="G1124">
        <v>2266</v>
      </c>
      <c r="H1124">
        <v>70</v>
      </c>
      <c r="I1124">
        <v>158620</v>
      </c>
      <c r="J1124">
        <v>23793</v>
      </c>
      <c r="K1124">
        <v>182413</v>
      </c>
    </row>
    <row r="1125" spans="1:11" x14ac:dyDescent="0.25">
      <c r="A1125" s="1">
        <v>45841</v>
      </c>
      <c r="B1125" t="s">
        <v>20</v>
      </c>
      <c r="C1125" t="s">
        <v>81</v>
      </c>
      <c r="D1125" t="s">
        <v>14</v>
      </c>
      <c r="E1125">
        <v>13</v>
      </c>
      <c r="F1125">
        <v>841</v>
      </c>
      <c r="G1125">
        <v>841</v>
      </c>
      <c r="H1125">
        <v>90</v>
      </c>
      <c r="I1125">
        <v>75690</v>
      </c>
      <c r="J1125">
        <v>11353.5</v>
      </c>
      <c r="K1125">
        <v>87043.5</v>
      </c>
    </row>
    <row r="1126" spans="1:11" x14ac:dyDescent="0.25">
      <c r="A1126" s="1">
        <v>45841</v>
      </c>
      <c r="B1126" t="s">
        <v>20</v>
      </c>
      <c r="C1126" t="s">
        <v>126</v>
      </c>
      <c r="D1126" t="s">
        <v>26</v>
      </c>
      <c r="E1126">
        <v>9</v>
      </c>
      <c r="F1126">
        <v>114</v>
      </c>
      <c r="G1126">
        <v>114</v>
      </c>
      <c r="H1126">
        <v>90</v>
      </c>
      <c r="I1126">
        <v>10260</v>
      </c>
      <c r="J1126">
        <v>1539</v>
      </c>
      <c r="K1126">
        <v>11799</v>
      </c>
    </row>
    <row r="1127" spans="1:11" x14ac:dyDescent="0.25">
      <c r="A1127" s="1">
        <v>45856</v>
      </c>
      <c r="B1127" t="s">
        <v>20</v>
      </c>
      <c r="C1127" t="s">
        <v>86</v>
      </c>
      <c r="D1127" t="s">
        <v>26</v>
      </c>
      <c r="E1127">
        <v>2</v>
      </c>
      <c r="F1127">
        <v>113</v>
      </c>
      <c r="G1127">
        <v>113</v>
      </c>
      <c r="H1127">
        <v>90</v>
      </c>
      <c r="I1127">
        <v>10170</v>
      </c>
      <c r="J1127">
        <v>1525.5</v>
      </c>
      <c r="K1127">
        <v>11695.5</v>
      </c>
    </row>
    <row r="1128" spans="1:11" x14ac:dyDescent="0.25">
      <c r="A1128" s="1">
        <v>45856</v>
      </c>
      <c r="B1128" t="s">
        <v>20</v>
      </c>
      <c r="C1128" t="s">
        <v>126</v>
      </c>
      <c r="D1128" t="s">
        <v>22</v>
      </c>
      <c r="E1128">
        <v>3</v>
      </c>
      <c r="F1128">
        <v>500</v>
      </c>
      <c r="G1128">
        <v>500</v>
      </c>
      <c r="H1128">
        <v>90</v>
      </c>
      <c r="I1128">
        <v>45000</v>
      </c>
      <c r="J1128">
        <v>6750</v>
      </c>
      <c r="K1128">
        <v>51750</v>
      </c>
    </row>
    <row r="1129" spans="1:11" x14ac:dyDescent="0.25">
      <c r="A1129" s="1">
        <v>45856</v>
      </c>
      <c r="B1129" t="s">
        <v>20</v>
      </c>
      <c r="C1129" t="s">
        <v>86</v>
      </c>
      <c r="D1129" t="s">
        <v>32</v>
      </c>
      <c r="E1129">
        <v>37</v>
      </c>
      <c r="F1129">
        <v>738</v>
      </c>
      <c r="G1129">
        <v>738</v>
      </c>
      <c r="H1129">
        <v>90</v>
      </c>
      <c r="I1129">
        <v>66420</v>
      </c>
      <c r="J1129">
        <v>9963</v>
      </c>
      <c r="K1129">
        <v>76383</v>
      </c>
    </row>
    <row r="1130" spans="1:11" x14ac:dyDescent="0.25">
      <c r="A1130" s="1">
        <v>45856</v>
      </c>
      <c r="B1130" t="s">
        <v>20</v>
      </c>
      <c r="C1130" t="s">
        <v>126</v>
      </c>
      <c r="D1130" t="s">
        <v>17</v>
      </c>
      <c r="E1130">
        <v>1</v>
      </c>
      <c r="F1130">
        <v>946</v>
      </c>
      <c r="G1130">
        <v>946</v>
      </c>
      <c r="H1130">
        <v>90</v>
      </c>
      <c r="I1130">
        <v>85140</v>
      </c>
      <c r="J1130">
        <v>12771</v>
      </c>
      <c r="K1130">
        <v>97911</v>
      </c>
    </row>
    <row r="1131" spans="1:11" x14ac:dyDescent="0.25">
      <c r="A1131" s="1">
        <v>45856</v>
      </c>
      <c r="B1131" t="s">
        <v>20</v>
      </c>
      <c r="C1131" t="s">
        <v>86</v>
      </c>
      <c r="D1131" t="s">
        <v>22</v>
      </c>
      <c r="E1131">
        <v>2</v>
      </c>
      <c r="F1131">
        <v>500</v>
      </c>
      <c r="G1131">
        <v>500</v>
      </c>
      <c r="H1131">
        <v>90</v>
      </c>
      <c r="I1131">
        <v>45000</v>
      </c>
      <c r="J1131">
        <v>6750</v>
      </c>
      <c r="K1131">
        <v>51750</v>
      </c>
    </row>
    <row r="1132" spans="1:11" x14ac:dyDescent="0.25">
      <c r="A1132" s="1">
        <v>45856</v>
      </c>
      <c r="B1132" t="s">
        <v>42</v>
      </c>
      <c r="C1132" t="s">
        <v>121</v>
      </c>
      <c r="D1132" t="s">
        <v>27</v>
      </c>
      <c r="E1132">
        <v>8</v>
      </c>
      <c r="F1132">
        <v>77</v>
      </c>
      <c r="G1132">
        <v>107</v>
      </c>
      <c r="H1132">
        <v>70</v>
      </c>
      <c r="I1132">
        <v>7490</v>
      </c>
      <c r="J1132">
        <v>1123.5</v>
      </c>
      <c r="K1132">
        <v>8613.5</v>
      </c>
    </row>
    <row r="1133" spans="1:11" x14ac:dyDescent="0.25">
      <c r="A1133" s="1">
        <v>45856</v>
      </c>
      <c r="B1133" t="s">
        <v>42</v>
      </c>
      <c r="C1133" t="s">
        <v>121</v>
      </c>
      <c r="D1133" t="s">
        <v>19</v>
      </c>
      <c r="E1133">
        <v>6</v>
      </c>
      <c r="F1133">
        <v>431</v>
      </c>
      <c r="G1133">
        <v>431</v>
      </c>
      <c r="H1133">
        <v>70</v>
      </c>
      <c r="I1133">
        <v>30170</v>
      </c>
      <c r="J1133">
        <v>4525.5</v>
      </c>
      <c r="K1133">
        <v>34695.5</v>
      </c>
    </row>
    <row r="1134" spans="1:11" x14ac:dyDescent="0.25">
      <c r="A1134" s="1">
        <v>45853</v>
      </c>
      <c r="B1134" t="s">
        <v>42</v>
      </c>
      <c r="C1134" t="s">
        <v>85</v>
      </c>
      <c r="D1134" t="s">
        <v>17</v>
      </c>
      <c r="E1134">
        <v>10</v>
      </c>
      <c r="F1134">
        <v>1145</v>
      </c>
      <c r="G1134">
        <v>1145</v>
      </c>
      <c r="H1134">
        <v>70</v>
      </c>
      <c r="I1134">
        <v>80150</v>
      </c>
      <c r="J1134">
        <v>12022.5</v>
      </c>
      <c r="K1134">
        <v>92172.5</v>
      </c>
    </row>
    <row r="1135" spans="1:11" x14ac:dyDescent="0.25">
      <c r="A1135" s="1">
        <v>45853</v>
      </c>
      <c r="B1135" t="s">
        <v>42</v>
      </c>
      <c r="C1135" t="s">
        <v>96</v>
      </c>
      <c r="D1135" t="s">
        <v>17</v>
      </c>
      <c r="E1135">
        <v>10</v>
      </c>
      <c r="F1135">
        <v>1264</v>
      </c>
      <c r="G1135">
        <v>1264</v>
      </c>
      <c r="H1135">
        <v>70</v>
      </c>
      <c r="I1135">
        <v>88480</v>
      </c>
      <c r="J1135">
        <v>13272</v>
      </c>
      <c r="K1135">
        <v>101752</v>
      </c>
    </row>
    <row r="1136" spans="1:11" x14ac:dyDescent="0.25">
      <c r="A1136" s="1">
        <v>45853</v>
      </c>
      <c r="B1136" t="s">
        <v>42</v>
      </c>
      <c r="C1136" t="s">
        <v>40</v>
      </c>
      <c r="D1136" t="s">
        <v>17</v>
      </c>
      <c r="E1136">
        <v>10</v>
      </c>
      <c r="F1136">
        <v>1011</v>
      </c>
      <c r="G1136">
        <v>1011</v>
      </c>
      <c r="H1136">
        <v>70</v>
      </c>
      <c r="I1136">
        <v>70770</v>
      </c>
      <c r="J1136">
        <v>10615.5</v>
      </c>
      <c r="K1136">
        <v>81385.5</v>
      </c>
    </row>
    <row r="1137" spans="1:11" x14ac:dyDescent="0.25">
      <c r="A1137" s="1">
        <v>45856</v>
      </c>
      <c r="B1137" t="s">
        <v>42</v>
      </c>
      <c r="C1137" t="s">
        <v>86</v>
      </c>
      <c r="D1137" t="s">
        <v>17</v>
      </c>
      <c r="E1137">
        <v>3</v>
      </c>
      <c r="F1137">
        <v>791</v>
      </c>
      <c r="G1137">
        <v>791</v>
      </c>
      <c r="H1137">
        <v>70</v>
      </c>
      <c r="I1137">
        <v>55370</v>
      </c>
      <c r="J1137">
        <v>8305.5</v>
      </c>
      <c r="K1137">
        <v>63675.5</v>
      </c>
    </row>
    <row r="1138" spans="1:11" x14ac:dyDescent="0.25">
      <c r="A1138" s="1">
        <v>45856</v>
      </c>
      <c r="B1138" t="s">
        <v>42</v>
      </c>
      <c r="C1138" t="s">
        <v>86</v>
      </c>
      <c r="D1138" t="s">
        <v>32</v>
      </c>
      <c r="E1138">
        <v>3</v>
      </c>
      <c r="F1138">
        <v>811</v>
      </c>
      <c r="G1138">
        <v>811</v>
      </c>
      <c r="H1138">
        <v>70</v>
      </c>
      <c r="I1138">
        <v>56770</v>
      </c>
      <c r="J1138">
        <v>8515.5</v>
      </c>
      <c r="K1138">
        <v>65285.5</v>
      </c>
    </row>
    <row r="1139" spans="1:11" x14ac:dyDescent="0.25">
      <c r="A1139" s="1">
        <v>45831</v>
      </c>
      <c r="B1139" t="s">
        <v>42</v>
      </c>
      <c r="C1139" t="s">
        <v>43</v>
      </c>
      <c r="D1139" t="s">
        <v>26</v>
      </c>
      <c r="E1139">
        <v>3</v>
      </c>
      <c r="F1139">
        <v>702</v>
      </c>
      <c r="G1139">
        <v>702</v>
      </c>
      <c r="H1139">
        <v>70</v>
      </c>
      <c r="I1139">
        <v>49140</v>
      </c>
      <c r="J1139">
        <v>7371</v>
      </c>
      <c r="K1139">
        <v>56511</v>
      </c>
    </row>
    <row r="1140" spans="1:11" x14ac:dyDescent="0.25">
      <c r="A1140" s="1">
        <v>45856</v>
      </c>
      <c r="B1140" t="s">
        <v>164</v>
      </c>
      <c r="C1140" t="s">
        <v>178</v>
      </c>
      <c r="D1140" t="s">
        <v>17</v>
      </c>
      <c r="E1140">
        <v>2</v>
      </c>
      <c r="F1140">
        <v>20</v>
      </c>
      <c r="G1140">
        <v>20</v>
      </c>
      <c r="H1140">
        <v>500</v>
      </c>
      <c r="I1140">
        <v>10000</v>
      </c>
      <c r="J1140">
        <v>1500</v>
      </c>
      <c r="K1140">
        <v>11500</v>
      </c>
    </row>
    <row r="1141" spans="1:11" x14ac:dyDescent="0.25">
      <c r="A1141" s="1">
        <v>45856</v>
      </c>
      <c r="B1141" t="s">
        <v>204</v>
      </c>
      <c r="C1141" t="s">
        <v>226</v>
      </c>
      <c r="D1141" t="s">
        <v>88</v>
      </c>
      <c r="E1141">
        <v>2</v>
      </c>
      <c r="F1141">
        <v>418</v>
      </c>
      <c r="G1141">
        <v>418</v>
      </c>
      <c r="H1141">
        <v>100</v>
      </c>
      <c r="I1141">
        <v>41800</v>
      </c>
      <c r="J1141">
        <v>6270</v>
      </c>
      <c r="K1141">
        <v>48070</v>
      </c>
    </row>
    <row r="1142" spans="1:11" x14ac:dyDescent="0.25">
      <c r="A1142" s="1">
        <v>45856</v>
      </c>
      <c r="B1142" t="s">
        <v>58</v>
      </c>
      <c r="C1142" t="s">
        <v>46</v>
      </c>
      <c r="D1142" t="s">
        <v>59</v>
      </c>
      <c r="E1142">
        <v>4</v>
      </c>
      <c r="F1142">
        <v>5000</v>
      </c>
      <c r="G1142">
        <v>5000</v>
      </c>
      <c r="H1142">
        <v>20</v>
      </c>
      <c r="I1142">
        <v>100000</v>
      </c>
      <c r="J1142">
        <v>15000</v>
      </c>
      <c r="K1142">
        <v>115000</v>
      </c>
    </row>
    <row r="1143" spans="1:11" x14ac:dyDescent="0.25">
      <c r="A1143" s="1">
        <v>45856</v>
      </c>
      <c r="B1143" t="s">
        <v>58</v>
      </c>
      <c r="C1143" t="s">
        <v>28</v>
      </c>
      <c r="D1143" t="s">
        <v>26</v>
      </c>
      <c r="E1143">
        <v>6</v>
      </c>
      <c r="F1143">
        <v>12344</v>
      </c>
      <c r="G1143">
        <v>12344</v>
      </c>
      <c r="H1143">
        <v>20</v>
      </c>
      <c r="I1143">
        <v>246880</v>
      </c>
      <c r="J1143">
        <v>37032</v>
      </c>
      <c r="K1143">
        <v>283912</v>
      </c>
    </row>
    <row r="1144" spans="1:11" x14ac:dyDescent="0.25">
      <c r="A1144" s="1">
        <v>45856</v>
      </c>
      <c r="B1144" t="s">
        <v>122</v>
      </c>
      <c r="C1144" t="s">
        <v>72</v>
      </c>
      <c r="D1144" t="s">
        <v>24</v>
      </c>
      <c r="E1144">
        <v>7</v>
      </c>
      <c r="F1144">
        <v>93</v>
      </c>
      <c r="G1144">
        <v>93</v>
      </c>
      <c r="H1144">
        <v>90</v>
      </c>
      <c r="I1144">
        <v>8370</v>
      </c>
      <c r="J1144">
        <v>1255.5</v>
      </c>
      <c r="K1144">
        <v>9625.5</v>
      </c>
    </row>
    <row r="1145" spans="1:11" x14ac:dyDescent="0.25">
      <c r="A1145" s="1">
        <v>45856</v>
      </c>
      <c r="B1145" t="s">
        <v>36</v>
      </c>
      <c r="C1145" t="s">
        <v>182</v>
      </c>
      <c r="D1145" t="s">
        <v>32</v>
      </c>
      <c r="E1145">
        <v>15</v>
      </c>
      <c r="F1145">
        <v>23</v>
      </c>
      <c r="G1145">
        <v>15</v>
      </c>
      <c r="H1145">
        <v>2400</v>
      </c>
      <c r="I1145">
        <v>36000</v>
      </c>
      <c r="J1145">
        <v>5400</v>
      </c>
      <c r="K1145">
        <v>41400</v>
      </c>
    </row>
    <row r="1146" spans="1:11" x14ac:dyDescent="0.25">
      <c r="A1146" s="1">
        <v>45856</v>
      </c>
      <c r="B1146" t="s">
        <v>65</v>
      </c>
      <c r="C1146" t="s">
        <v>151</v>
      </c>
      <c r="D1146" t="s">
        <v>32</v>
      </c>
      <c r="E1146">
        <v>6</v>
      </c>
      <c r="F1146">
        <v>865</v>
      </c>
      <c r="G1146">
        <v>865</v>
      </c>
      <c r="H1146">
        <v>70</v>
      </c>
      <c r="I1146">
        <v>60550</v>
      </c>
      <c r="J1146">
        <v>9082.5</v>
      </c>
      <c r="K1146">
        <v>69632.5</v>
      </c>
    </row>
    <row r="1147" spans="1:11" x14ac:dyDescent="0.25">
      <c r="A1147" s="1">
        <v>45836</v>
      </c>
      <c r="B1147" t="s">
        <v>65</v>
      </c>
      <c r="C1147" t="s">
        <v>84</v>
      </c>
      <c r="D1147" t="s">
        <v>17</v>
      </c>
      <c r="E1147">
        <v>13</v>
      </c>
      <c r="F1147">
        <v>293</v>
      </c>
      <c r="G1147">
        <v>293</v>
      </c>
      <c r="H1147">
        <v>70</v>
      </c>
      <c r="I1147">
        <v>20510</v>
      </c>
      <c r="J1147">
        <v>3076.5</v>
      </c>
      <c r="K1147">
        <v>23586.5</v>
      </c>
    </row>
    <row r="1148" spans="1:11" x14ac:dyDescent="0.25">
      <c r="A1148" s="1">
        <v>45836</v>
      </c>
      <c r="B1148" t="s">
        <v>65</v>
      </c>
      <c r="C1148" t="s">
        <v>84</v>
      </c>
      <c r="D1148" t="s">
        <v>24</v>
      </c>
      <c r="E1148">
        <v>8</v>
      </c>
      <c r="F1148">
        <v>1371</v>
      </c>
      <c r="G1148">
        <v>1371</v>
      </c>
      <c r="H1148">
        <v>70</v>
      </c>
      <c r="I1148">
        <v>95970</v>
      </c>
      <c r="J1148">
        <v>14395.5</v>
      </c>
      <c r="K1148">
        <v>110365.5</v>
      </c>
    </row>
    <row r="1149" spans="1:11" x14ac:dyDescent="0.25">
      <c r="A1149" s="1">
        <v>45847</v>
      </c>
      <c r="B1149" t="s">
        <v>65</v>
      </c>
      <c r="C1149" t="s">
        <v>86</v>
      </c>
      <c r="D1149" t="s">
        <v>59</v>
      </c>
      <c r="E1149">
        <v>2</v>
      </c>
      <c r="F1149">
        <v>1000</v>
      </c>
      <c r="G1149">
        <v>2000</v>
      </c>
      <c r="H1149">
        <v>70</v>
      </c>
      <c r="I1149">
        <v>140000</v>
      </c>
      <c r="J1149">
        <v>21000</v>
      </c>
      <c r="K1149">
        <v>161000</v>
      </c>
    </row>
    <row r="1150" spans="1:11" x14ac:dyDescent="0.25">
      <c r="A1150" s="1">
        <v>45856</v>
      </c>
      <c r="B1150" t="s">
        <v>65</v>
      </c>
      <c r="C1150" t="s">
        <v>86</v>
      </c>
      <c r="D1150" t="s">
        <v>14</v>
      </c>
      <c r="E1150">
        <v>10</v>
      </c>
      <c r="F1150">
        <v>1066</v>
      </c>
      <c r="G1150">
        <v>1000</v>
      </c>
      <c r="H1150">
        <v>70</v>
      </c>
      <c r="I1150">
        <v>70000</v>
      </c>
      <c r="J1150">
        <v>10500</v>
      </c>
      <c r="K1150">
        <v>80500</v>
      </c>
    </row>
    <row r="1151" spans="1:11" x14ac:dyDescent="0.25">
      <c r="A1151" s="1">
        <v>45856</v>
      </c>
      <c r="B1151" t="s">
        <v>65</v>
      </c>
      <c r="C1151" t="s">
        <v>78</v>
      </c>
      <c r="D1151" t="s">
        <v>32</v>
      </c>
      <c r="E1151">
        <v>6</v>
      </c>
      <c r="F1151">
        <v>200</v>
      </c>
      <c r="G1151">
        <v>200</v>
      </c>
      <c r="H1151">
        <v>70</v>
      </c>
      <c r="I1151">
        <v>14000</v>
      </c>
      <c r="J1151">
        <v>2100</v>
      </c>
      <c r="K1151">
        <v>16100</v>
      </c>
    </row>
    <row r="1152" spans="1:11" x14ac:dyDescent="0.25">
      <c r="A1152" s="1">
        <v>45856</v>
      </c>
      <c r="B1152" t="s">
        <v>65</v>
      </c>
      <c r="C1152" t="s">
        <v>136</v>
      </c>
      <c r="D1152" t="s">
        <v>32</v>
      </c>
      <c r="E1152">
        <v>6</v>
      </c>
      <c r="F1152">
        <v>77</v>
      </c>
      <c r="G1152">
        <v>77</v>
      </c>
      <c r="H1152">
        <v>70</v>
      </c>
      <c r="I1152">
        <v>5390</v>
      </c>
      <c r="J1152">
        <v>808.5</v>
      </c>
      <c r="K1152">
        <v>6198.5</v>
      </c>
    </row>
    <row r="1153" spans="1:11" x14ac:dyDescent="0.25">
      <c r="A1153" s="1">
        <v>45856</v>
      </c>
      <c r="B1153" t="s">
        <v>65</v>
      </c>
      <c r="C1153" t="s">
        <v>96</v>
      </c>
      <c r="D1153" t="s">
        <v>32</v>
      </c>
      <c r="E1153">
        <v>6</v>
      </c>
      <c r="F1153">
        <v>543</v>
      </c>
      <c r="G1153">
        <v>543</v>
      </c>
      <c r="H1153">
        <v>70</v>
      </c>
      <c r="I1153">
        <v>38010</v>
      </c>
      <c r="J1153">
        <v>5701.5</v>
      </c>
      <c r="K1153">
        <v>43711.5</v>
      </c>
    </row>
    <row r="1154" spans="1:11" x14ac:dyDescent="0.25">
      <c r="A1154" s="1">
        <v>45856</v>
      </c>
      <c r="B1154" t="s">
        <v>65</v>
      </c>
      <c r="C1154" t="s">
        <v>159</v>
      </c>
      <c r="D1154" t="s">
        <v>32</v>
      </c>
      <c r="E1154">
        <v>15</v>
      </c>
      <c r="F1154">
        <v>734</v>
      </c>
      <c r="G1154">
        <v>734</v>
      </c>
      <c r="H1154">
        <v>70</v>
      </c>
      <c r="I1154">
        <v>51380</v>
      </c>
      <c r="J1154">
        <v>7707</v>
      </c>
      <c r="K1154">
        <v>59087</v>
      </c>
    </row>
    <row r="1155" spans="1:11" x14ac:dyDescent="0.25">
      <c r="A1155" s="1">
        <v>45856</v>
      </c>
      <c r="B1155" t="s">
        <v>227</v>
      </c>
      <c r="C1155" t="s">
        <v>113</v>
      </c>
      <c r="D1155" t="s">
        <v>24</v>
      </c>
      <c r="E1155">
        <v>2</v>
      </c>
      <c r="F1155">
        <v>0</v>
      </c>
      <c r="G1155">
        <v>2</v>
      </c>
      <c r="H1155">
        <v>2500</v>
      </c>
      <c r="I1155">
        <v>5000</v>
      </c>
      <c r="J1155">
        <v>750</v>
      </c>
      <c r="K1155">
        <v>5750</v>
      </c>
    </row>
    <row r="1156" spans="1:11" x14ac:dyDescent="0.25">
      <c r="A1156" s="1">
        <v>45836</v>
      </c>
      <c r="B1156" t="s">
        <v>65</v>
      </c>
      <c r="C1156" t="s">
        <v>66</v>
      </c>
      <c r="D1156" t="s">
        <v>24</v>
      </c>
      <c r="E1156">
        <v>5</v>
      </c>
      <c r="F1156">
        <v>1026</v>
      </c>
      <c r="G1156">
        <v>1026</v>
      </c>
      <c r="H1156">
        <v>70</v>
      </c>
      <c r="I1156">
        <v>71820</v>
      </c>
      <c r="J1156">
        <v>10773</v>
      </c>
      <c r="K1156">
        <v>82593</v>
      </c>
    </row>
    <row r="1157" spans="1:11" x14ac:dyDescent="0.25">
      <c r="A1157" s="1">
        <v>45831</v>
      </c>
      <c r="B1157" t="s">
        <v>65</v>
      </c>
      <c r="C1157" t="s">
        <v>96</v>
      </c>
      <c r="D1157" t="s">
        <v>17</v>
      </c>
      <c r="E1157">
        <v>21</v>
      </c>
      <c r="F1157">
        <v>490</v>
      </c>
      <c r="G1157">
        <v>490</v>
      </c>
      <c r="H1157">
        <v>70</v>
      </c>
      <c r="I1157">
        <v>34300</v>
      </c>
      <c r="J1157">
        <v>5145</v>
      </c>
      <c r="K1157">
        <v>39445</v>
      </c>
    </row>
    <row r="1158" spans="1:11" x14ac:dyDescent="0.25">
      <c r="A1158" s="1">
        <v>45856</v>
      </c>
      <c r="B1158" t="s">
        <v>70</v>
      </c>
      <c r="C1158" t="s">
        <v>174</v>
      </c>
      <c r="D1158" t="s">
        <v>11</v>
      </c>
      <c r="E1158">
        <v>7</v>
      </c>
      <c r="F1158">
        <v>2041</v>
      </c>
      <c r="G1158">
        <v>2041</v>
      </c>
      <c r="H1158">
        <v>90</v>
      </c>
      <c r="I1158">
        <v>183690</v>
      </c>
      <c r="J1158">
        <v>27553.5</v>
      </c>
      <c r="K1158">
        <v>211243.5</v>
      </c>
    </row>
    <row r="1159" spans="1:11" x14ac:dyDescent="0.25">
      <c r="A1159" s="1">
        <v>45856</v>
      </c>
      <c r="B1159" t="s">
        <v>70</v>
      </c>
      <c r="C1159" t="s">
        <v>124</v>
      </c>
      <c r="D1159" t="s">
        <v>26</v>
      </c>
      <c r="E1159">
        <v>7</v>
      </c>
      <c r="F1159">
        <v>2456</v>
      </c>
      <c r="G1159">
        <v>2456</v>
      </c>
      <c r="H1159">
        <v>90</v>
      </c>
      <c r="I1159">
        <v>221040</v>
      </c>
      <c r="J1159">
        <v>33156</v>
      </c>
      <c r="K1159">
        <v>254196</v>
      </c>
    </row>
    <row r="1160" spans="1:11" x14ac:dyDescent="0.25">
      <c r="A1160" s="1">
        <v>45856</v>
      </c>
      <c r="B1160" t="s">
        <v>167</v>
      </c>
      <c r="C1160" t="s">
        <v>126</v>
      </c>
      <c r="D1160" t="s">
        <v>32</v>
      </c>
      <c r="E1160">
        <v>1</v>
      </c>
      <c r="F1160">
        <v>1</v>
      </c>
      <c r="G1160">
        <v>1</v>
      </c>
      <c r="H1160">
        <v>2500</v>
      </c>
      <c r="I1160">
        <v>2500</v>
      </c>
      <c r="J1160">
        <v>375</v>
      </c>
      <c r="K1160">
        <v>2875</v>
      </c>
    </row>
    <row r="1161" spans="1:11" x14ac:dyDescent="0.25">
      <c r="A1161" s="1">
        <v>45856</v>
      </c>
      <c r="B1161" t="s">
        <v>167</v>
      </c>
      <c r="C1161" t="s">
        <v>121</v>
      </c>
      <c r="D1161" t="s">
        <v>32</v>
      </c>
      <c r="E1161">
        <v>2</v>
      </c>
      <c r="F1161">
        <v>1</v>
      </c>
      <c r="G1161">
        <v>2</v>
      </c>
      <c r="H1161">
        <v>2500</v>
      </c>
      <c r="I1161">
        <v>5000</v>
      </c>
      <c r="J1161">
        <v>750</v>
      </c>
      <c r="K1161">
        <v>5750</v>
      </c>
    </row>
    <row r="1162" spans="1:11" x14ac:dyDescent="0.25">
      <c r="A1162" s="1">
        <v>45857</v>
      </c>
      <c r="B1162" t="s">
        <v>199</v>
      </c>
      <c r="C1162" t="s">
        <v>64</v>
      </c>
      <c r="D1162" t="s">
        <v>27</v>
      </c>
      <c r="E1162">
        <v>1</v>
      </c>
      <c r="F1162">
        <v>0</v>
      </c>
      <c r="G1162">
        <v>1</v>
      </c>
      <c r="H1162">
        <v>3000</v>
      </c>
      <c r="I1162">
        <v>3000</v>
      </c>
      <c r="J1162">
        <v>450</v>
      </c>
      <c r="K1162">
        <v>3450</v>
      </c>
    </row>
    <row r="1163" spans="1:11" x14ac:dyDescent="0.25">
      <c r="A1163" s="1">
        <v>45857</v>
      </c>
      <c r="B1163" t="s">
        <v>168</v>
      </c>
      <c r="C1163" t="s">
        <v>66</v>
      </c>
      <c r="D1163" t="s">
        <v>63</v>
      </c>
      <c r="E1163">
        <v>10</v>
      </c>
      <c r="F1163">
        <v>1</v>
      </c>
      <c r="G1163">
        <v>10.32</v>
      </c>
      <c r="H1163">
        <v>3500</v>
      </c>
      <c r="I1163">
        <v>36120</v>
      </c>
      <c r="J1163">
        <v>5418</v>
      </c>
      <c r="K1163">
        <v>41538</v>
      </c>
    </row>
    <row r="1164" spans="1:11" x14ac:dyDescent="0.25">
      <c r="A1164" s="1">
        <v>45857</v>
      </c>
      <c r="B1164" t="s">
        <v>20</v>
      </c>
      <c r="C1164" t="s">
        <v>126</v>
      </c>
      <c r="D1164" t="s">
        <v>32</v>
      </c>
      <c r="E1164">
        <v>40</v>
      </c>
      <c r="F1164">
        <v>705</v>
      </c>
      <c r="G1164">
        <v>705</v>
      </c>
      <c r="H1164">
        <v>90</v>
      </c>
      <c r="I1164">
        <v>63450</v>
      </c>
      <c r="J1164">
        <v>9517.5</v>
      </c>
      <c r="K1164">
        <v>72967.5</v>
      </c>
    </row>
    <row r="1165" spans="1:11" x14ac:dyDescent="0.25">
      <c r="A1165" s="1">
        <v>45829</v>
      </c>
      <c r="B1165" t="s">
        <v>20</v>
      </c>
      <c r="C1165" t="s">
        <v>21</v>
      </c>
      <c r="D1165" t="s">
        <v>19</v>
      </c>
      <c r="E1165">
        <v>5</v>
      </c>
      <c r="F1165">
        <v>644</v>
      </c>
      <c r="G1165">
        <v>644</v>
      </c>
      <c r="H1165">
        <v>90</v>
      </c>
      <c r="I1165">
        <v>57960</v>
      </c>
      <c r="J1165">
        <v>8694</v>
      </c>
      <c r="K1165">
        <v>66654</v>
      </c>
    </row>
    <row r="1166" spans="1:11" x14ac:dyDescent="0.25">
      <c r="A1166" s="1">
        <v>45857</v>
      </c>
      <c r="B1166" t="s">
        <v>20</v>
      </c>
      <c r="C1166" t="s">
        <v>126</v>
      </c>
      <c r="D1166" t="s">
        <v>24</v>
      </c>
      <c r="E1166">
        <v>12</v>
      </c>
      <c r="F1166">
        <v>534</v>
      </c>
      <c r="G1166">
        <v>534</v>
      </c>
      <c r="H1166">
        <v>90</v>
      </c>
      <c r="I1166">
        <v>48060</v>
      </c>
      <c r="J1166">
        <v>7209</v>
      </c>
      <c r="K1166">
        <v>55269</v>
      </c>
    </row>
    <row r="1167" spans="1:11" x14ac:dyDescent="0.25">
      <c r="A1167" s="1">
        <v>45857</v>
      </c>
      <c r="B1167" t="s">
        <v>20</v>
      </c>
      <c r="C1167" t="s">
        <v>86</v>
      </c>
      <c r="D1167" t="s">
        <v>24</v>
      </c>
      <c r="E1167">
        <v>2</v>
      </c>
      <c r="F1167">
        <v>469</v>
      </c>
      <c r="G1167">
        <v>469</v>
      </c>
      <c r="H1167">
        <v>90</v>
      </c>
      <c r="I1167">
        <v>42210</v>
      </c>
      <c r="J1167">
        <v>6331.5</v>
      </c>
      <c r="K1167">
        <v>48541.5</v>
      </c>
    </row>
    <row r="1168" spans="1:11" x14ac:dyDescent="0.25">
      <c r="A1168" s="1">
        <v>45856</v>
      </c>
      <c r="B1168" t="s">
        <v>228</v>
      </c>
      <c r="C1168" t="s">
        <v>47</v>
      </c>
      <c r="D1168" t="s">
        <v>27</v>
      </c>
      <c r="E1168">
        <v>5</v>
      </c>
      <c r="F1168">
        <v>6</v>
      </c>
      <c r="G1168">
        <v>10</v>
      </c>
      <c r="H1168">
        <v>2400</v>
      </c>
      <c r="I1168">
        <v>24000</v>
      </c>
      <c r="J1168">
        <v>3600</v>
      </c>
      <c r="K1168">
        <v>27600</v>
      </c>
    </row>
    <row r="1169" spans="1:11" x14ac:dyDescent="0.25">
      <c r="A1169" s="1">
        <v>45856</v>
      </c>
      <c r="B1169" t="s">
        <v>228</v>
      </c>
      <c r="C1169" t="s">
        <v>51</v>
      </c>
      <c r="D1169" t="s">
        <v>27</v>
      </c>
      <c r="E1169">
        <v>5</v>
      </c>
      <c r="F1169">
        <v>6</v>
      </c>
      <c r="G1169">
        <v>13.25</v>
      </c>
      <c r="H1169">
        <v>2400</v>
      </c>
      <c r="I1169">
        <v>31800</v>
      </c>
      <c r="J1169">
        <v>4770</v>
      </c>
      <c r="K1169">
        <v>36570</v>
      </c>
    </row>
    <row r="1170" spans="1:11" x14ac:dyDescent="0.25">
      <c r="A1170" s="1">
        <v>45856</v>
      </c>
      <c r="B1170" t="s">
        <v>228</v>
      </c>
      <c r="C1170" t="s">
        <v>160</v>
      </c>
      <c r="D1170" t="s">
        <v>27</v>
      </c>
      <c r="E1170">
        <v>5</v>
      </c>
      <c r="F1170">
        <v>6</v>
      </c>
      <c r="G1170">
        <v>15.34</v>
      </c>
      <c r="H1170">
        <v>2400</v>
      </c>
      <c r="I1170">
        <v>36816</v>
      </c>
      <c r="J1170">
        <v>5522.4</v>
      </c>
      <c r="K1170">
        <v>42338.400000000001</v>
      </c>
    </row>
    <row r="1171" spans="1:11" x14ac:dyDescent="0.25">
      <c r="A1171" s="1">
        <v>45856</v>
      </c>
      <c r="B1171" t="s">
        <v>228</v>
      </c>
      <c r="C1171" t="s">
        <v>229</v>
      </c>
      <c r="D1171" t="s">
        <v>27</v>
      </c>
      <c r="E1171">
        <v>5</v>
      </c>
      <c r="F1171">
        <v>6</v>
      </c>
      <c r="G1171">
        <v>15</v>
      </c>
      <c r="H1171">
        <v>2400</v>
      </c>
      <c r="I1171">
        <v>36000</v>
      </c>
      <c r="J1171">
        <v>5400</v>
      </c>
      <c r="K1171">
        <v>41400</v>
      </c>
    </row>
    <row r="1172" spans="1:11" x14ac:dyDescent="0.25">
      <c r="A1172" s="1">
        <v>45856</v>
      </c>
      <c r="B1172" t="s">
        <v>228</v>
      </c>
      <c r="C1172" t="s">
        <v>68</v>
      </c>
      <c r="D1172" t="s">
        <v>27</v>
      </c>
      <c r="E1172">
        <v>5</v>
      </c>
      <c r="F1172">
        <v>6</v>
      </c>
      <c r="G1172">
        <v>19.190000000000001</v>
      </c>
      <c r="H1172">
        <v>2400</v>
      </c>
      <c r="I1172">
        <v>46056</v>
      </c>
      <c r="J1172">
        <v>6908.4</v>
      </c>
      <c r="K1172">
        <v>52964.4</v>
      </c>
    </row>
    <row r="1173" spans="1:11" x14ac:dyDescent="0.25">
      <c r="A1173" s="1">
        <v>45856</v>
      </c>
      <c r="B1173" t="s">
        <v>228</v>
      </c>
      <c r="C1173" t="s">
        <v>28</v>
      </c>
      <c r="D1173" t="s">
        <v>27</v>
      </c>
      <c r="E1173">
        <v>5</v>
      </c>
      <c r="F1173">
        <v>6</v>
      </c>
      <c r="G1173">
        <v>10</v>
      </c>
      <c r="H1173">
        <v>2400</v>
      </c>
      <c r="I1173">
        <v>24000</v>
      </c>
      <c r="J1173">
        <v>3600</v>
      </c>
      <c r="K1173">
        <v>27600</v>
      </c>
    </row>
    <row r="1174" spans="1:11" x14ac:dyDescent="0.25">
      <c r="A1174" s="1">
        <v>45856</v>
      </c>
      <c r="B1174" t="s">
        <v>228</v>
      </c>
      <c r="C1174" t="s">
        <v>230</v>
      </c>
      <c r="D1174" t="s">
        <v>27</v>
      </c>
      <c r="E1174">
        <v>5</v>
      </c>
      <c r="F1174">
        <v>6</v>
      </c>
      <c r="G1174">
        <v>10</v>
      </c>
      <c r="H1174">
        <v>2400</v>
      </c>
      <c r="I1174">
        <v>24000</v>
      </c>
      <c r="J1174">
        <v>3600</v>
      </c>
      <c r="K1174">
        <v>27600</v>
      </c>
    </row>
    <row r="1175" spans="1:11" x14ac:dyDescent="0.25">
      <c r="A1175" s="1">
        <v>45856</v>
      </c>
      <c r="B1175" t="s">
        <v>228</v>
      </c>
      <c r="C1175" t="s">
        <v>192</v>
      </c>
      <c r="D1175" t="s">
        <v>27</v>
      </c>
      <c r="E1175">
        <v>5</v>
      </c>
      <c r="F1175">
        <v>6</v>
      </c>
      <c r="G1175">
        <v>19.809999999999999</v>
      </c>
      <c r="H1175">
        <v>2400</v>
      </c>
      <c r="I1175">
        <v>47544</v>
      </c>
      <c r="J1175">
        <v>7131.6</v>
      </c>
      <c r="K1175">
        <v>54675.6</v>
      </c>
    </row>
    <row r="1176" spans="1:11" x14ac:dyDescent="0.25">
      <c r="A1176" s="1">
        <v>45856</v>
      </c>
      <c r="B1176" t="s">
        <v>228</v>
      </c>
      <c r="C1176" t="s">
        <v>121</v>
      </c>
      <c r="D1176" t="s">
        <v>27</v>
      </c>
      <c r="E1176">
        <v>5</v>
      </c>
      <c r="F1176">
        <v>6</v>
      </c>
      <c r="G1176">
        <v>10</v>
      </c>
      <c r="H1176">
        <v>2400</v>
      </c>
      <c r="I1176">
        <v>24000</v>
      </c>
      <c r="J1176">
        <v>3600</v>
      </c>
      <c r="K1176">
        <v>27600</v>
      </c>
    </row>
    <row r="1177" spans="1:11" x14ac:dyDescent="0.25">
      <c r="A1177" s="1">
        <v>45856</v>
      </c>
      <c r="B1177" t="s">
        <v>228</v>
      </c>
      <c r="C1177" t="s">
        <v>166</v>
      </c>
      <c r="D1177" t="s">
        <v>27</v>
      </c>
      <c r="E1177">
        <v>5</v>
      </c>
      <c r="F1177">
        <v>6</v>
      </c>
      <c r="G1177">
        <v>10</v>
      </c>
      <c r="H1177">
        <v>2400</v>
      </c>
      <c r="I1177">
        <v>24000</v>
      </c>
      <c r="J1177">
        <v>3600</v>
      </c>
      <c r="K1177">
        <v>27600</v>
      </c>
    </row>
    <row r="1178" spans="1:11" x14ac:dyDescent="0.25">
      <c r="A1178" s="1">
        <v>45856</v>
      </c>
      <c r="B1178" t="s">
        <v>228</v>
      </c>
      <c r="C1178" t="s">
        <v>231</v>
      </c>
      <c r="D1178" t="s">
        <v>27</v>
      </c>
      <c r="E1178">
        <v>5</v>
      </c>
      <c r="F1178">
        <v>6</v>
      </c>
      <c r="G1178">
        <v>10</v>
      </c>
      <c r="H1178">
        <v>2400</v>
      </c>
      <c r="I1178">
        <v>24000</v>
      </c>
      <c r="J1178">
        <v>3600</v>
      </c>
      <c r="K1178">
        <v>27600</v>
      </c>
    </row>
    <row r="1179" spans="1:11" x14ac:dyDescent="0.25">
      <c r="A1179" s="1">
        <v>45856</v>
      </c>
      <c r="B1179" t="s">
        <v>228</v>
      </c>
      <c r="C1179" t="s">
        <v>232</v>
      </c>
      <c r="D1179" t="s">
        <v>27</v>
      </c>
      <c r="E1179">
        <v>5</v>
      </c>
      <c r="F1179">
        <v>6</v>
      </c>
      <c r="G1179">
        <v>4.71</v>
      </c>
      <c r="H1179">
        <v>2400</v>
      </c>
      <c r="I1179">
        <v>11304</v>
      </c>
      <c r="J1179">
        <v>1695.6</v>
      </c>
      <c r="K1179">
        <v>12999.6</v>
      </c>
    </row>
    <row r="1180" spans="1:11" x14ac:dyDescent="0.25">
      <c r="A1180" s="1">
        <v>45856</v>
      </c>
      <c r="B1180" t="s">
        <v>228</v>
      </c>
      <c r="C1180" t="s">
        <v>174</v>
      </c>
      <c r="D1180" t="s">
        <v>27</v>
      </c>
      <c r="E1180">
        <v>5</v>
      </c>
      <c r="F1180">
        <v>6</v>
      </c>
      <c r="G1180">
        <v>9</v>
      </c>
      <c r="H1180">
        <v>2400</v>
      </c>
      <c r="I1180">
        <v>21600</v>
      </c>
      <c r="J1180">
        <v>3240</v>
      </c>
      <c r="K1180">
        <v>24840</v>
      </c>
    </row>
    <row r="1181" spans="1:11" x14ac:dyDescent="0.25">
      <c r="A1181" s="1">
        <v>45856</v>
      </c>
      <c r="B1181" t="s">
        <v>228</v>
      </c>
      <c r="C1181" t="s">
        <v>233</v>
      </c>
      <c r="D1181" t="s">
        <v>27</v>
      </c>
      <c r="E1181">
        <v>5</v>
      </c>
      <c r="F1181">
        <v>6</v>
      </c>
      <c r="G1181">
        <v>9.6</v>
      </c>
      <c r="H1181">
        <v>2400</v>
      </c>
      <c r="I1181">
        <v>23040</v>
      </c>
      <c r="J1181">
        <v>3456</v>
      </c>
      <c r="K1181">
        <v>26496</v>
      </c>
    </row>
    <row r="1182" spans="1:11" x14ac:dyDescent="0.25">
      <c r="A1182" s="1">
        <v>45856</v>
      </c>
      <c r="B1182" t="s">
        <v>228</v>
      </c>
      <c r="C1182" t="s">
        <v>165</v>
      </c>
      <c r="D1182" t="s">
        <v>27</v>
      </c>
      <c r="E1182">
        <v>5</v>
      </c>
      <c r="F1182">
        <v>6</v>
      </c>
      <c r="G1182">
        <v>6</v>
      </c>
      <c r="H1182">
        <v>2400</v>
      </c>
      <c r="I1182">
        <v>14400</v>
      </c>
      <c r="J1182">
        <v>2160</v>
      </c>
      <c r="K1182">
        <v>16560</v>
      </c>
    </row>
    <row r="1183" spans="1:11" x14ac:dyDescent="0.25">
      <c r="A1183" s="1">
        <v>45856</v>
      </c>
      <c r="B1183" t="s">
        <v>228</v>
      </c>
      <c r="C1183" t="s">
        <v>203</v>
      </c>
      <c r="D1183" t="s">
        <v>27</v>
      </c>
      <c r="E1183">
        <v>5</v>
      </c>
      <c r="F1183">
        <v>6</v>
      </c>
      <c r="G1183">
        <v>5.69</v>
      </c>
      <c r="H1183">
        <v>2400</v>
      </c>
      <c r="I1183">
        <v>13656</v>
      </c>
      <c r="J1183">
        <v>2048.4</v>
      </c>
      <c r="K1183">
        <v>15704.4</v>
      </c>
    </row>
    <row r="1184" spans="1:11" x14ac:dyDescent="0.25">
      <c r="A1184" s="1">
        <v>45856</v>
      </c>
      <c r="B1184" t="s">
        <v>228</v>
      </c>
      <c r="C1184" t="s">
        <v>116</v>
      </c>
      <c r="D1184" t="s">
        <v>27</v>
      </c>
      <c r="E1184">
        <v>5</v>
      </c>
      <c r="F1184">
        <v>6</v>
      </c>
      <c r="G1184">
        <v>10</v>
      </c>
      <c r="H1184">
        <v>2400</v>
      </c>
      <c r="I1184">
        <v>24000</v>
      </c>
      <c r="J1184">
        <v>3600</v>
      </c>
      <c r="K1184">
        <v>27600</v>
      </c>
    </row>
    <row r="1185" spans="1:11" x14ac:dyDescent="0.25">
      <c r="A1185" s="1">
        <v>45856</v>
      </c>
      <c r="B1185" t="s">
        <v>228</v>
      </c>
      <c r="C1185" t="s">
        <v>169</v>
      </c>
      <c r="D1185" t="s">
        <v>27</v>
      </c>
      <c r="E1185">
        <v>5</v>
      </c>
      <c r="F1185">
        <v>6</v>
      </c>
      <c r="G1185">
        <v>7.72</v>
      </c>
      <c r="H1185">
        <v>2400</v>
      </c>
      <c r="I1185">
        <v>18528</v>
      </c>
      <c r="J1185">
        <v>2779.2</v>
      </c>
      <c r="K1185">
        <v>21307.200000000001</v>
      </c>
    </row>
    <row r="1186" spans="1:11" x14ac:dyDescent="0.25">
      <c r="A1186" s="1">
        <v>45856</v>
      </c>
      <c r="B1186" t="s">
        <v>42</v>
      </c>
      <c r="C1186" t="s">
        <v>86</v>
      </c>
      <c r="D1186" t="s">
        <v>27</v>
      </c>
      <c r="E1186">
        <v>3</v>
      </c>
      <c r="F1186">
        <v>73</v>
      </c>
      <c r="G1186">
        <v>103</v>
      </c>
      <c r="H1186">
        <v>70</v>
      </c>
      <c r="I1186">
        <v>7210</v>
      </c>
      <c r="J1186">
        <v>1081.5</v>
      </c>
      <c r="K1186">
        <v>8291.5</v>
      </c>
    </row>
    <row r="1187" spans="1:11" x14ac:dyDescent="0.25">
      <c r="A1187" s="1">
        <v>45856</v>
      </c>
      <c r="B1187" t="s">
        <v>42</v>
      </c>
      <c r="C1187" t="s">
        <v>126</v>
      </c>
      <c r="D1187" t="s">
        <v>19</v>
      </c>
      <c r="E1187">
        <v>5</v>
      </c>
      <c r="F1187">
        <v>321</v>
      </c>
      <c r="G1187">
        <v>321</v>
      </c>
      <c r="H1187">
        <v>70</v>
      </c>
      <c r="I1187">
        <v>22470</v>
      </c>
      <c r="J1187">
        <v>3370.5</v>
      </c>
      <c r="K1187">
        <v>25840.5</v>
      </c>
    </row>
    <row r="1188" spans="1:11" x14ac:dyDescent="0.25">
      <c r="A1188" s="1">
        <v>45856</v>
      </c>
      <c r="B1188" t="s">
        <v>42</v>
      </c>
      <c r="C1188" t="s">
        <v>126</v>
      </c>
      <c r="D1188" t="s">
        <v>17</v>
      </c>
      <c r="E1188">
        <v>8</v>
      </c>
      <c r="F1188">
        <v>779</v>
      </c>
      <c r="G1188">
        <v>779</v>
      </c>
      <c r="H1188">
        <v>70</v>
      </c>
      <c r="I1188">
        <v>54530</v>
      </c>
      <c r="J1188">
        <v>8179.5</v>
      </c>
      <c r="K1188">
        <v>62709.5</v>
      </c>
    </row>
    <row r="1189" spans="1:11" x14ac:dyDescent="0.25">
      <c r="A1189" s="1">
        <v>45856</v>
      </c>
      <c r="B1189" t="s">
        <v>42</v>
      </c>
      <c r="C1189" t="s">
        <v>126</v>
      </c>
      <c r="D1189" t="s">
        <v>27</v>
      </c>
      <c r="E1189">
        <v>8</v>
      </c>
      <c r="F1189">
        <v>51</v>
      </c>
      <c r="G1189">
        <v>51</v>
      </c>
      <c r="H1189">
        <v>70</v>
      </c>
      <c r="I1189">
        <v>3570</v>
      </c>
      <c r="J1189">
        <v>535.5</v>
      </c>
      <c r="K1189">
        <v>4105.5</v>
      </c>
    </row>
    <row r="1190" spans="1:11" x14ac:dyDescent="0.25">
      <c r="A1190" s="1">
        <v>45857</v>
      </c>
      <c r="B1190" t="s">
        <v>42</v>
      </c>
      <c r="C1190" t="s">
        <v>86</v>
      </c>
      <c r="D1190" t="s">
        <v>19</v>
      </c>
      <c r="E1190">
        <v>6</v>
      </c>
      <c r="F1190">
        <v>300</v>
      </c>
      <c r="G1190">
        <v>300</v>
      </c>
      <c r="H1190">
        <v>70</v>
      </c>
      <c r="I1190">
        <v>21000</v>
      </c>
      <c r="J1190">
        <v>3150</v>
      </c>
      <c r="K1190">
        <v>24150</v>
      </c>
    </row>
    <row r="1191" spans="1:11" x14ac:dyDescent="0.25">
      <c r="A1191" s="1">
        <v>45857</v>
      </c>
      <c r="B1191" t="s">
        <v>70</v>
      </c>
      <c r="C1191" t="s">
        <v>180</v>
      </c>
      <c r="D1191" t="s">
        <v>27</v>
      </c>
      <c r="E1191">
        <v>3</v>
      </c>
      <c r="F1191">
        <v>1089</v>
      </c>
      <c r="G1191">
        <v>1089</v>
      </c>
      <c r="H1191">
        <v>90</v>
      </c>
      <c r="I1191">
        <v>98010</v>
      </c>
      <c r="J1191">
        <v>14701.5</v>
      </c>
      <c r="K1191">
        <v>112711.5</v>
      </c>
    </row>
    <row r="1192" spans="1:11" x14ac:dyDescent="0.25">
      <c r="A1192" s="1">
        <v>45857</v>
      </c>
      <c r="B1192" t="s">
        <v>58</v>
      </c>
      <c r="C1192" t="s">
        <v>121</v>
      </c>
      <c r="D1192" t="s">
        <v>26</v>
      </c>
      <c r="E1192">
        <v>4</v>
      </c>
      <c r="F1192">
        <v>1</v>
      </c>
      <c r="G1192">
        <v>20</v>
      </c>
      <c r="H1192">
        <v>3500</v>
      </c>
      <c r="I1192">
        <v>70000</v>
      </c>
      <c r="J1192">
        <v>10500</v>
      </c>
      <c r="K1192">
        <v>80500</v>
      </c>
    </row>
    <row r="1193" spans="1:11" x14ac:dyDescent="0.25">
      <c r="A1193" s="1">
        <v>45857</v>
      </c>
      <c r="B1193" t="s">
        <v>58</v>
      </c>
      <c r="C1193" t="s">
        <v>99</v>
      </c>
      <c r="D1193" t="s">
        <v>26</v>
      </c>
      <c r="E1193">
        <v>4</v>
      </c>
      <c r="F1193">
        <v>1</v>
      </c>
      <c r="G1193">
        <v>24</v>
      </c>
      <c r="H1193">
        <v>3500</v>
      </c>
      <c r="I1193">
        <v>84000</v>
      </c>
      <c r="J1193">
        <v>12600</v>
      </c>
      <c r="K1193">
        <v>96600</v>
      </c>
    </row>
    <row r="1194" spans="1:11" x14ac:dyDescent="0.25">
      <c r="A1194" s="1">
        <v>45857</v>
      </c>
      <c r="B1194" t="s">
        <v>164</v>
      </c>
      <c r="C1194" t="s">
        <v>203</v>
      </c>
      <c r="D1194" t="s">
        <v>17</v>
      </c>
      <c r="E1194">
        <v>3</v>
      </c>
      <c r="F1194">
        <v>36</v>
      </c>
      <c r="G1194">
        <v>36</v>
      </c>
      <c r="H1194">
        <v>500</v>
      </c>
      <c r="I1194">
        <v>18000</v>
      </c>
      <c r="J1194">
        <v>2700</v>
      </c>
      <c r="K1194">
        <v>20700</v>
      </c>
    </row>
    <row r="1195" spans="1:11" x14ac:dyDescent="0.25">
      <c r="A1195" s="1">
        <v>45857</v>
      </c>
      <c r="B1195" t="s">
        <v>122</v>
      </c>
      <c r="C1195" t="s">
        <v>114</v>
      </c>
      <c r="D1195" t="s">
        <v>24</v>
      </c>
      <c r="E1195">
        <v>7</v>
      </c>
      <c r="F1195">
        <v>93</v>
      </c>
      <c r="G1195">
        <v>15</v>
      </c>
      <c r="H1195">
        <v>90</v>
      </c>
      <c r="I1195">
        <v>1350</v>
      </c>
      <c r="J1195">
        <v>202.5</v>
      </c>
      <c r="K1195">
        <v>1552.5</v>
      </c>
    </row>
    <row r="1196" spans="1:11" x14ac:dyDescent="0.25">
      <c r="A1196" s="1">
        <v>45857</v>
      </c>
      <c r="B1196" t="s">
        <v>122</v>
      </c>
      <c r="C1196" t="s">
        <v>49</v>
      </c>
      <c r="D1196" t="s">
        <v>24</v>
      </c>
      <c r="E1196">
        <v>7</v>
      </c>
      <c r="F1196">
        <v>93</v>
      </c>
      <c r="G1196">
        <v>11</v>
      </c>
      <c r="H1196">
        <v>90</v>
      </c>
      <c r="I1196">
        <v>990</v>
      </c>
      <c r="J1196">
        <v>148.5</v>
      </c>
      <c r="K1196">
        <v>1138.5</v>
      </c>
    </row>
    <row r="1197" spans="1:11" x14ac:dyDescent="0.25">
      <c r="A1197" s="1">
        <v>45857</v>
      </c>
      <c r="B1197" t="s">
        <v>122</v>
      </c>
      <c r="C1197" t="s">
        <v>53</v>
      </c>
      <c r="D1197" t="s">
        <v>24</v>
      </c>
      <c r="E1197">
        <v>7</v>
      </c>
      <c r="F1197">
        <v>93</v>
      </c>
      <c r="G1197">
        <v>99</v>
      </c>
      <c r="H1197">
        <v>90</v>
      </c>
      <c r="I1197">
        <v>8910</v>
      </c>
      <c r="J1197">
        <v>1336.5</v>
      </c>
      <c r="K1197">
        <v>10246.5</v>
      </c>
    </row>
    <row r="1198" spans="1:11" x14ac:dyDescent="0.25">
      <c r="A1198" s="1">
        <v>45857</v>
      </c>
      <c r="B1198" t="s">
        <v>122</v>
      </c>
      <c r="C1198" t="s">
        <v>81</v>
      </c>
      <c r="D1198" t="s">
        <v>24</v>
      </c>
      <c r="E1198">
        <v>7</v>
      </c>
      <c r="F1198">
        <v>93</v>
      </c>
      <c r="G1198">
        <v>29</v>
      </c>
      <c r="H1198">
        <v>90</v>
      </c>
      <c r="I1198">
        <v>2610</v>
      </c>
      <c r="J1198">
        <v>391.5</v>
      </c>
      <c r="K1198">
        <v>3001.5</v>
      </c>
    </row>
    <row r="1199" spans="1:11" x14ac:dyDescent="0.25">
      <c r="A1199" s="1">
        <v>45857</v>
      </c>
      <c r="B1199" t="s">
        <v>122</v>
      </c>
      <c r="C1199" t="s">
        <v>86</v>
      </c>
      <c r="D1199" t="s">
        <v>24</v>
      </c>
      <c r="E1199">
        <v>7</v>
      </c>
      <c r="F1199">
        <v>93</v>
      </c>
      <c r="G1199">
        <v>61</v>
      </c>
      <c r="H1199">
        <v>90</v>
      </c>
      <c r="I1199">
        <v>5490</v>
      </c>
      <c r="J1199">
        <v>823.5</v>
      </c>
      <c r="K1199">
        <v>6313.5</v>
      </c>
    </row>
    <row r="1200" spans="1:11" x14ac:dyDescent="0.25">
      <c r="A1200" s="1">
        <v>45857</v>
      </c>
      <c r="B1200" t="s">
        <v>122</v>
      </c>
      <c r="C1200" t="s">
        <v>143</v>
      </c>
      <c r="D1200" t="s">
        <v>24</v>
      </c>
      <c r="E1200">
        <v>7</v>
      </c>
      <c r="F1200">
        <v>93</v>
      </c>
      <c r="G1200">
        <v>29</v>
      </c>
      <c r="H1200">
        <v>90</v>
      </c>
      <c r="I1200">
        <v>2610</v>
      </c>
      <c r="J1200">
        <v>391.5</v>
      </c>
      <c r="K1200">
        <v>3001.5</v>
      </c>
    </row>
    <row r="1201" spans="1:11" x14ac:dyDescent="0.25">
      <c r="A1201" s="1">
        <v>45857</v>
      </c>
      <c r="B1201" t="s">
        <v>122</v>
      </c>
      <c r="C1201" t="s">
        <v>106</v>
      </c>
      <c r="D1201" t="s">
        <v>24</v>
      </c>
      <c r="E1201">
        <v>7</v>
      </c>
      <c r="F1201">
        <v>93</v>
      </c>
      <c r="G1201">
        <v>135</v>
      </c>
      <c r="H1201">
        <v>90</v>
      </c>
      <c r="I1201">
        <v>12150</v>
      </c>
      <c r="J1201">
        <v>1822.5</v>
      </c>
      <c r="K1201">
        <v>13972.5</v>
      </c>
    </row>
    <row r="1202" spans="1:11" x14ac:dyDescent="0.25">
      <c r="A1202" s="1">
        <v>45857</v>
      </c>
      <c r="B1202" t="s">
        <v>122</v>
      </c>
      <c r="C1202" t="s">
        <v>50</v>
      </c>
      <c r="D1202" t="s">
        <v>24</v>
      </c>
      <c r="E1202">
        <v>7</v>
      </c>
      <c r="F1202">
        <v>93</v>
      </c>
      <c r="G1202">
        <v>245</v>
      </c>
      <c r="H1202">
        <v>90</v>
      </c>
      <c r="I1202">
        <v>22050</v>
      </c>
      <c r="J1202">
        <v>3307.5</v>
      </c>
      <c r="K1202">
        <v>25357.5</v>
      </c>
    </row>
    <row r="1203" spans="1:11" x14ac:dyDescent="0.25">
      <c r="A1203" s="1">
        <v>45857</v>
      </c>
      <c r="B1203" t="s">
        <v>122</v>
      </c>
      <c r="C1203" t="s">
        <v>47</v>
      </c>
      <c r="D1203" t="s">
        <v>24</v>
      </c>
      <c r="E1203">
        <v>7</v>
      </c>
      <c r="F1203">
        <v>93</v>
      </c>
      <c r="G1203">
        <v>127</v>
      </c>
      <c r="H1203">
        <v>90</v>
      </c>
      <c r="I1203">
        <v>11430</v>
      </c>
      <c r="J1203">
        <v>1714.5</v>
      </c>
      <c r="K1203">
        <v>13144.5</v>
      </c>
    </row>
    <row r="1204" spans="1:11" x14ac:dyDescent="0.25">
      <c r="A1204" s="1">
        <v>45857</v>
      </c>
      <c r="B1204" t="s">
        <v>122</v>
      </c>
      <c r="C1204" t="s">
        <v>49</v>
      </c>
      <c r="D1204" t="s">
        <v>24</v>
      </c>
      <c r="E1204">
        <v>7</v>
      </c>
      <c r="F1204">
        <v>93</v>
      </c>
      <c r="G1204">
        <v>396</v>
      </c>
      <c r="H1204">
        <v>90</v>
      </c>
      <c r="I1204">
        <v>35640</v>
      </c>
      <c r="J1204">
        <v>5346</v>
      </c>
      <c r="K1204">
        <v>40986</v>
      </c>
    </row>
    <row r="1205" spans="1:11" x14ac:dyDescent="0.25">
      <c r="A1205" s="1">
        <v>45857</v>
      </c>
      <c r="B1205" t="s">
        <v>122</v>
      </c>
      <c r="C1205" t="s">
        <v>160</v>
      </c>
      <c r="D1205" t="s">
        <v>24</v>
      </c>
      <c r="E1205">
        <v>7</v>
      </c>
      <c r="F1205">
        <v>93</v>
      </c>
      <c r="G1205">
        <v>63</v>
      </c>
      <c r="H1205">
        <v>90</v>
      </c>
      <c r="I1205">
        <v>5670</v>
      </c>
      <c r="J1205">
        <v>850.5</v>
      </c>
      <c r="K1205">
        <v>6520.5</v>
      </c>
    </row>
    <row r="1206" spans="1:11" x14ac:dyDescent="0.25">
      <c r="A1206" s="1">
        <v>45857</v>
      </c>
      <c r="B1206" t="s">
        <v>122</v>
      </c>
      <c r="C1206" t="s">
        <v>47</v>
      </c>
      <c r="D1206" t="s">
        <v>24</v>
      </c>
      <c r="E1206">
        <v>7</v>
      </c>
      <c r="F1206">
        <v>93</v>
      </c>
      <c r="G1206">
        <v>144</v>
      </c>
      <c r="H1206">
        <v>90</v>
      </c>
      <c r="I1206">
        <v>12960</v>
      </c>
      <c r="J1206">
        <v>1944</v>
      </c>
      <c r="K1206">
        <v>14904</v>
      </c>
    </row>
    <row r="1207" spans="1:11" x14ac:dyDescent="0.25">
      <c r="A1207" s="1">
        <v>45857</v>
      </c>
      <c r="B1207" t="s">
        <v>122</v>
      </c>
      <c r="C1207" t="s">
        <v>51</v>
      </c>
      <c r="D1207" t="s">
        <v>24</v>
      </c>
      <c r="E1207">
        <v>7</v>
      </c>
      <c r="F1207">
        <v>93</v>
      </c>
      <c r="G1207">
        <v>174</v>
      </c>
      <c r="H1207">
        <v>90</v>
      </c>
      <c r="I1207">
        <v>15660</v>
      </c>
      <c r="J1207">
        <v>2349</v>
      </c>
      <c r="K1207">
        <v>18009</v>
      </c>
    </row>
    <row r="1208" spans="1:11" x14ac:dyDescent="0.25">
      <c r="A1208" s="1">
        <v>45857</v>
      </c>
      <c r="B1208" t="s">
        <v>122</v>
      </c>
      <c r="C1208" t="s">
        <v>13</v>
      </c>
      <c r="D1208" t="s">
        <v>24</v>
      </c>
      <c r="E1208">
        <v>7</v>
      </c>
      <c r="F1208">
        <v>93</v>
      </c>
      <c r="G1208">
        <v>36</v>
      </c>
      <c r="H1208">
        <v>90</v>
      </c>
      <c r="I1208">
        <v>3240</v>
      </c>
      <c r="J1208">
        <v>486</v>
      </c>
      <c r="K1208">
        <v>3726</v>
      </c>
    </row>
    <row r="1209" spans="1:11" x14ac:dyDescent="0.25">
      <c r="A1209" s="1">
        <v>45857</v>
      </c>
      <c r="B1209" t="s">
        <v>122</v>
      </c>
      <c r="C1209" t="s">
        <v>106</v>
      </c>
      <c r="D1209" t="s">
        <v>24</v>
      </c>
      <c r="E1209">
        <v>7</v>
      </c>
      <c r="F1209">
        <v>93</v>
      </c>
      <c r="G1209">
        <v>64</v>
      </c>
      <c r="H1209">
        <v>90</v>
      </c>
      <c r="I1209">
        <v>5760</v>
      </c>
      <c r="J1209">
        <v>864</v>
      </c>
      <c r="K1209">
        <v>6624</v>
      </c>
    </row>
    <row r="1210" spans="1:11" x14ac:dyDescent="0.25">
      <c r="A1210" s="1">
        <v>45857</v>
      </c>
      <c r="B1210" t="s">
        <v>122</v>
      </c>
      <c r="C1210" t="s">
        <v>52</v>
      </c>
      <c r="D1210" t="s">
        <v>24</v>
      </c>
      <c r="E1210">
        <v>7</v>
      </c>
      <c r="F1210">
        <v>93</v>
      </c>
      <c r="G1210">
        <v>159</v>
      </c>
      <c r="H1210">
        <v>90</v>
      </c>
      <c r="I1210">
        <v>14310</v>
      </c>
      <c r="J1210">
        <v>2146.5</v>
      </c>
      <c r="K1210">
        <v>16456.5</v>
      </c>
    </row>
    <row r="1211" spans="1:11" x14ac:dyDescent="0.25">
      <c r="A1211" s="1">
        <v>45857</v>
      </c>
      <c r="B1211" t="s">
        <v>122</v>
      </c>
      <c r="C1211" t="s">
        <v>109</v>
      </c>
      <c r="D1211" t="s">
        <v>24</v>
      </c>
      <c r="E1211">
        <v>7</v>
      </c>
      <c r="F1211">
        <v>93</v>
      </c>
      <c r="G1211">
        <v>8</v>
      </c>
      <c r="H1211">
        <v>90</v>
      </c>
      <c r="I1211">
        <v>720</v>
      </c>
      <c r="J1211">
        <v>108</v>
      </c>
      <c r="K1211">
        <v>828</v>
      </c>
    </row>
    <row r="1212" spans="1:11" x14ac:dyDescent="0.25">
      <c r="A1212" s="1">
        <v>45857</v>
      </c>
      <c r="B1212" t="s">
        <v>122</v>
      </c>
      <c r="C1212" t="s">
        <v>106</v>
      </c>
      <c r="D1212" t="s">
        <v>24</v>
      </c>
      <c r="E1212">
        <v>7</v>
      </c>
      <c r="F1212">
        <v>93</v>
      </c>
      <c r="G1212">
        <v>123</v>
      </c>
      <c r="H1212">
        <v>90</v>
      </c>
      <c r="I1212">
        <v>11070</v>
      </c>
      <c r="J1212">
        <v>1660.5</v>
      </c>
      <c r="K1212">
        <v>12730.5</v>
      </c>
    </row>
    <row r="1213" spans="1:11" x14ac:dyDescent="0.25">
      <c r="A1213" s="1">
        <v>45857</v>
      </c>
      <c r="B1213" t="s">
        <v>122</v>
      </c>
      <c r="C1213" t="s">
        <v>191</v>
      </c>
      <c r="D1213" t="s">
        <v>24</v>
      </c>
      <c r="E1213">
        <v>7</v>
      </c>
      <c r="F1213">
        <v>93</v>
      </c>
      <c r="G1213">
        <v>100</v>
      </c>
      <c r="H1213">
        <v>90</v>
      </c>
      <c r="I1213">
        <v>9000</v>
      </c>
      <c r="J1213">
        <v>1350</v>
      </c>
      <c r="K1213">
        <v>10350</v>
      </c>
    </row>
    <row r="1214" spans="1:11" x14ac:dyDescent="0.25">
      <c r="A1214" s="1">
        <v>45857</v>
      </c>
      <c r="B1214" t="s">
        <v>122</v>
      </c>
      <c r="C1214" t="s">
        <v>157</v>
      </c>
      <c r="D1214" t="s">
        <v>24</v>
      </c>
      <c r="E1214">
        <v>7</v>
      </c>
      <c r="F1214">
        <v>93</v>
      </c>
      <c r="G1214">
        <v>63</v>
      </c>
      <c r="H1214">
        <v>90</v>
      </c>
      <c r="I1214">
        <v>5670</v>
      </c>
      <c r="J1214">
        <v>850.5</v>
      </c>
      <c r="K1214">
        <v>6520.5</v>
      </c>
    </row>
    <row r="1215" spans="1:11" x14ac:dyDescent="0.25">
      <c r="A1215" s="1">
        <v>45857</v>
      </c>
      <c r="B1215" t="s">
        <v>122</v>
      </c>
      <c r="C1215" t="s">
        <v>40</v>
      </c>
      <c r="D1215" t="s">
        <v>24</v>
      </c>
      <c r="E1215">
        <v>4</v>
      </c>
      <c r="F1215">
        <v>185</v>
      </c>
      <c r="G1215">
        <v>185</v>
      </c>
      <c r="H1215">
        <v>90</v>
      </c>
      <c r="I1215">
        <v>16650</v>
      </c>
      <c r="J1215">
        <v>2497.5</v>
      </c>
      <c r="K1215">
        <v>19147.5</v>
      </c>
    </row>
    <row r="1216" spans="1:11" x14ac:dyDescent="0.25">
      <c r="A1216" s="1">
        <v>45857</v>
      </c>
      <c r="B1216" t="s">
        <v>120</v>
      </c>
      <c r="C1216" t="s">
        <v>84</v>
      </c>
      <c r="D1216" t="s">
        <v>24</v>
      </c>
      <c r="E1216">
        <v>4</v>
      </c>
      <c r="F1216">
        <v>750</v>
      </c>
      <c r="G1216">
        <v>750</v>
      </c>
      <c r="H1216">
        <v>5</v>
      </c>
      <c r="I1216">
        <v>3750</v>
      </c>
      <c r="J1216">
        <v>562.5</v>
      </c>
      <c r="K1216">
        <v>4312.5</v>
      </c>
    </row>
    <row r="1217" spans="1:11" x14ac:dyDescent="0.25">
      <c r="A1217" s="1">
        <v>45857</v>
      </c>
      <c r="B1217" t="s">
        <v>120</v>
      </c>
      <c r="C1217" t="s">
        <v>66</v>
      </c>
      <c r="D1217" t="s">
        <v>24</v>
      </c>
      <c r="E1217">
        <v>4</v>
      </c>
      <c r="F1217">
        <v>750</v>
      </c>
      <c r="G1217">
        <v>750</v>
      </c>
      <c r="H1217">
        <v>5</v>
      </c>
      <c r="I1217">
        <v>3750</v>
      </c>
      <c r="J1217">
        <v>562.5</v>
      </c>
      <c r="K1217">
        <v>4312.5</v>
      </c>
    </row>
    <row r="1218" spans="1:11" x14ac:dyDescent="0.25">
      <c r="A1218" s="1">
        <v>45857</v>
      </c>
      <c r="B1218" t="s">
        <v>122</v>
      </c>
      <c r="C1218" t="s">
        <v>99</v>
      </c>
      <c r="D1218" t="s">
        <v>24</v>
      </c>
      <c r="E1218">
        <v>4</v>
      </c>
      <c r="F1218">
        <v>100</v>
      </c>
      <c r="G1218">
        <v>100</v>
      </c>
      <c r="H1218">
        <v>90</v>
      </c>
      <c r="I1218">
        <v>9000</v>
      </c>
      <c r="J1218">
        <v>1350</v>
      </c>
      <c r="K1218">
        <v>10350</v>
      </c>
    </row>
    <row r="1219" spans="1:11" x14ac:dyDescent="0.25">
      <c r="A1219" s="1">
        <v>45857</v>
      </c>
      <c r="B1219" t="s">
        <v>36</v>
      </c>
      <c r="C1219" t="s">
        <v>181</v>
      </c>
      <c r="D1219" t="s">
        <v>32</v>
      </c>
      <c r="E1219">
        <v>12</v>
      </c>
      <c r="F1219">
        <v>34</v>
      </c>
      <c r="G1219">
        <v>18.559999999999999</v>
      </c>
      <c r="H1219">
        <v>2400</v>
      </c>
      <c r="I1219">
        <v>44544</v>
      </c>
      <c r="J1219">
        <v>6681.6</v>
      </c>
      <c r="K1219">
        <v>51225.599999999999</v>
      </c>
    </row>
    <row r="1220" spans="1:11" x14ac:dyDescent="0.25">
      <c r="A1220" s="1">
        <v>45857</v>
      </c>
      <c r="B1220" t="s">
        <v>36</v>
      </c>
      <c r="C1220" t="s">
        <v>48</v>
      </c>
      <c r="D1220" t="s">
        <v>32</v>
      </c>
      <c r="E1220">
        <v>12</v>
      </c>
      <c r="F1220">
        <v>34</v>
      </c>
      <c r="G1220">
        <v>11.4</v>
      </c>
      <c r="H1220">
        <v>2400</v>
      </c>
      <c r="I1220">
        <v>27360</v>
      </c>
      <c r="J1220">
        <v>4104</v>
      </c>
      <c r="K1220">
        <v>31464</v>
      </c>
    </row>
    <row r="1221" spans="1:11" x14ac:dyDescent="0.25">
      <c r="A1221" s="1">
        <v>45857</v>
      </c>
      <c r="B1221" t="s">
        <v>204</v>
      </c>
      <c r="C1221" t="s">
        <v>234</v>
      </c>
      <c r="D1221" t="s">
        <v>88</v>
      </c>
      <c r="E1221">
        <v>1</v>
      </c>
      <c r="F1221">
        <v>1696</v>
      </c>
      <c r="G1221">
        <v>1696</v>
      </c>
      <c r="H1221">
        <v>100</v>
      </c>
      <c r="I1221">
        <v>169600</v>
      </c>
      <c r="J1221">
        <v>25440</v>
      </c>
      <c r="K1221">
        <v>195040</v>
      </c>
    </row>
    <row r="1222" spans="1:11" x14ac:dyDescent="0.25">
      <c r="A1222" s="1">
        <v>45857</v>
      </c>
      <c r="B1222" t="s">
        <v>75</v>
      </c>
      <c r="C1222" t="s">
        <v>76</v>
      </c>
      <c r="D1222" t="s">
        <v>17</v>
      </c>
      <c r="E1222">
        <v>20</v>
      </c>
      <c r="F1222">
        <v>1</v>
      </c>
      <c r="G1222">
        <v>20</v>
      </c>
      <c r="H1222">
        <v>3000</v>
      </c>
      <c r="I1222">
        <v>60000</v>
      </c>
      <c r="J1222">
        <v>9000</v>
      </c>
      <c r="K1222">
        <v>69000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DB4E0-6B05-4AD4-831C-A7AE5D0F7016}">
  <dimension ref="B1:T39"/>
  <sheetViews>
    <sheetView tabSelected="1" topLeftCell="A4" workbookViewId="0">
      <selection activeCell="M28" sqref="M28"/>
    </sheetView>
  </sheetViews>
  <sheetFormatPr defaultRowHeight="20.100000000000001" customHeight="1" x14ac:dyDescent="0.25"/>
  <cols>
    <col min="1" max="1" width="3.42578125" style="3" customWidth="1"/>
    <col min="2" max="2" width="36.140625" style="4" customWidth="1"/>
    <col min="3" max="3" width="1.28515625" style="3" customWidth="1"/>
    <col min="4" max="16384" width="9.140625" style="3"/>
  </cols>
  <sheetData>
    <row r="1" spans="2:20" ht="20.100000000000001" customHeight="1" x14ac:dyDescent="0.25">
      <c r="T1" s="4"/>
    </row>
    <row r="3" spans="2:20" ht="20.100000000000001" customHeight="1" x14ac:dyDescent="0.3">
      <c r="P3" s="12" t="s">
        <v>314</v>
      </c>
      <c r="Q3" s="11"/>
      <c r="R3" s="11"/>
      <c r="S3" s="11"/>
      <c r="T3" s="11"/>
    </row>
    <row r="4" spans="2:20" ht="20.100000000000001" customHeight="1" x14ac:dyDescent="0.25">
      <c r="P4" s="13" t="str" cm="1">
        <f t="array" ref="P4:P21">_xlfn._xlws.FILTER(Table6[Notifications],Inventory!K24&lt;&gt;0)</f>
        <v/>
      </c>
      <c r="Q4" s="4"/>
      <c r="R4" s="4"/>
      <c r="S4" s="4"/>
      <c r="T4" s="4"/>
    </row>
    <row r="5" spans="2:20" ht="20.100000000000001" customHeight="1" x14ac:dyDescent="0.25">
      <c r="P5" s="13" t="str">
        <v/>
      </c>
      <c r="Q5" s="4"/>
      <c r="R5" s="4"/>
      <c r="S5" s="4"/>
      <c r="T5" s="4"/>
    </row>
    <row r="6" spans="2:20" ht="20.100000000000001" customHeight="1" x14ac:dyDescent="0.25">
      <c r="P6" s="13" t="str">
        <v/>
      </c>
      <c r="Q6" s="4"/>
      <c r="R6" s="4"/>
      <c r="S6" s="4"/>
      <c r="T6" s="4"/>
    </row>
    <row r="7" spans="2:20" ht="20.100000000000001" customHeight="1" x14ac:dyDescent="0.25">
      <c r="B7" s="5"/>
      <c r="P7" s="13" t="str">
        <v>📞Casual shirt  Need Reordered  8066196702</v>
      </c>
      <c r="Q7" s="4"/>
      <c r="R7" s="4"/>
      <c r="S7" s="4"/>
      <c r="T7" s="4"/>
    </row>
    <row r="8" spans="2:20" ht="20.100000000000001" customHeight="1" x14ac:dyDescent="0.25">
      <c r="P8" s="13" t="str">
        <v/>
      </c>
      <c r="Q8" s="4"/>
      <c r="R8" s="4"/>
      <c r="S8" s="4"/>
      <c r="T8" s="4"/>
    </row>
    <row r="9" spans="2:20" ht="20.100000000000001" customHeight="1" x14ac:dyDescent="0.25">
      <c r="P9" s="13" t="str">
        <v/>
      </c>
      <c r="Q9" s="4"/>
      <c r="R9" s="4"/>
      <c r="S9" s="4"/>
      <c r="T9" s="4"/>
    </row>
    <row r="10" spans="2:20" ht="20.100000000000001" customHeight="1" x14ac:dyDescent="0.25">
      <c r="P10" s="13" t="str">
        <v/>
      </c>
      <c r="Q10" s="4"/>
      <c r="R10" s="4"/>
      <c r="S10" s="4"/>
      <c r="T10" s="4"/>
    </row>
    <row r="11" spans="2:20" ht="20.100000000000001" customHeight="1" x14ac:dyDescent="0.25">
      <c r="P11" s="13" t="str">
        <v>📞Socks  Need Reordered  8068714118</v>
      </c>
      <c r="Q11" s="4"/>
      <c r="R11" s="4"/>
      <c r="S11" s="4"/>
      <c r="T11" s="4"/>
    </row>
    <row r="12" spans="2:20" ht="20.100000000000001" customHeight="1" x14ac:dyDescent="0.25">
      <c r="P12" s="13" t="str">
        <v/>
      </c>
      <c r="Q12" s="4"/>
      <c r="R12" s="4"/>
      <c r="S12" s="4"/>
      <c r="T12" s="4"/>
    </row>
    <row r="13" spans="2:20" ht="20.100000000000001" customHeight="1" x14ac:dyDescent="0.25">
      <c r="P13" s="13" t="str">
        <v/>
      </c>
      <c r="Q13" s="4"/>
      <c r="R13" s="4"/>
      <c r="S13" s="4"/>
      <c r="T13" s="4"/>
    </row>
    <row r="14" spans="2:20" ht="20.100000000000001" customHeight="1" x14ac:dyDescent="0.25">
      <c r="P14" s="13" t="str">
        <v/>
      </c>
      <c r="Q14" s="4"/>
      <c r="R14" s="4"/>
      <c r="S14" s="4"/>
      <c r="T14" s="4"/>
    </row>
    <row r="15" spans="2:20" ht="20.100000000000001" customHeight="1" x14ac:dyDescent="0.25">
      <c r="P15" s="13" t="str">
        <v/>
      </c>
      <c r="Q15" s="4"/>
      <c r="R15" s="4"/>
      <c r="S15" s="4"/>
      <c r="T15" s="4"/>
    </row>
    <row r="16" spans="2:20" ht="20.100000000000001" customHeight="1" x14ac:dyDescent="0.25">
      <c r="P16" s="13" t="str">
        <v/>
      </c>
      <c r="Q16" s="4"/>
      <c r="R16" s="4"/>
      <c r="S16" s="4"/>
      <c r="T16" s="4"/>
    </row>
    <row r="17" spans="2:20" ht="20.100000000000001" customHeight="1" x14ac:dyDescent="0.25">
      <c r="P17" s="13" t="str">
        <v/>
      </c>
      <c r="Q17" s="4"/>
      <c r="R17" s="4"/>
      <c r="S17" s="4"/>
      <c r="T17" s="4"/>
    </row>
    <row r="18" spans="2:20" ht="20.100000000000001" customHeight="1" x14ac:dyDescent="0.25">
      <c r="P18" s="13" t="str">
        <v/>
      </c>
      <c r="Q18" s="4"/>
      <c r="R18" s="4"/>
      <c r="S18" s="4"/>
      <c r="T18" s="4"/>
    </row>
    <row r="19" spans="2:20" ht="20.100000000000001" customHeight="1" x14ac:dyDescent="0.25">
      <c r="P19" s="13" t="str">
        <v/>
      </c>
      <c r="Q19" s="4"/>
      <c r="R19" s="4"/>
      <c r="S19" s="4"/>
      <c r="T19" s="4"/>
    </row>
    <row r="20" spans="2:20" ht="20.100000000000001" customHeight="1" x14ac:dyDescent="0.25">
      <c r="P20" s="13" t="str">
        <v/>
      </c>
      <c r="Q20" s="4"/>
      <c r="R20" s="4"/>
      <c r="S20" s="4"/>
      <c r="T20" s="4"/>
    </row>
    <row r="21" spans="2:20" ht="20.100000000000001" customHeight="1" x14ac:dyDescent="0.25">
      <c r="P21" s="13" t="str">
        <v/>
      </c>
      <c r="Q21" s="4"/>
      <c r="R21" s="4"/>
      <c r="S21" s="4"/>
      <c r="T21" s="4"/>
    </row>
    <row r="22" spans="2:20" ht="20.100000000000001" customHeight="1" x14ac:dyDescent="0.25">
      <c r="P22" s="4"/>
      <c r="Q22" s="4"/>
      <c r="R22" s="4"/>
      <c r="S22" s="4"/>
      <c r="T22" s="4"/>
    </row>
    <row r="23" spans="2:20" ht="20.100000000000001" customHeight="1" x14ac:dyDescent="0.25">
      <c r="P23" s="4"/>
      <c r="Q23" s="4"/>
      <c r="R23" s="4"/>
      <c r="S23" s="4"/>
      <c r="T23" s="4"/>
    </row>
    <row r="24" spans="2:20" ht="20.100000000000001" customHeight="1" x14ac:dyDescent="0.25">
      <c r="P24" s="4"/>
      <c r="Q24" s="4"/>
      <c r="R24" s="4"/>
      <c r="S24" s="4"/>
      <c r="T24" s="4"/>
    </row>
    <row r="25" spans="2:20" ht="20.100000000000001" customHeight="1" x14ac:dyDescent="0.25">
      <c r="P25" s="4"/>
      <c r="Q25" s="4"/>
      <c r="R25" s="4"/>
      <c r="S25" s="4"/>
      <c r="T25" s="4"/>
    </row>
    <row r="26" spans="2:20" ht="20.100000000000001" customHeight="1" x14ac:dyDescent="0.25">
      <c r="P26" s="4"/>
      <c r="Q26" s="4"/>
      <c r="R26" s="4"/>
      <c r="S26" s="4"/>
      <c r="T26" s="4"/>
    </row>
    <row r="27" spans="2:20" ht="20.100000000000001" customHeight="1" x14ac:dyDescent="0.25">
      <c r="P27" s="4"/>
      <c r="Q27" s="4"/>
      <c r="R27" s="4"/>
      <c r="S27" s="4"/>
      <c r="T27" s="4"/>
    </row>
    <row r="28" spans="2:20" ht="20.100000000000001" customHeight="1" x14ac:dyDescent="0.25">
      <c r="B28" s="3"/>
    </row>
    <row r="29" spans="2:20" ht="20.100000000000001" customHeight="1" x14ac:dyDescent="0.25">
      <c r="B29" s="3"/>
    </row>
    <row r="30" spans="2:20" ht="20.100000000000001" customHeight="1" x14ac:dyDescent="0.25">
      <c r="B30" s="3"/>
    </row>
    <row r="31" spans="2:20" ht="20.100000000000001" customHeight="1" x14ac:dyDescent="0.25">
      <c r="B31" s="3"/>
    </row>
    <row r="32" spans="2:20" ht="20.100000000000001" customHeight="1" x14ac:dyDescent="0.25">
      <c r="B32" s="3"/>
    </row>
    <row r="33" spans="2:2" ht="20.100000000000001" customHeight="1" x14ac:dyDescent="0.25">
      <c r="B33" s="3"/>
    </row>
    <row r="34" spans="2:2" ht="20.100000000000001" customHeight="1" x14ac:dyDescent="0.25">
      <c r="B34" s="3"/>
    </row>
    <row r="35" spans="2:2" ht="20.100000000000001" customHeight="1" x14ac:dyDescent="0.25">
      <c r="B35" s="3"/>
    </row>
    <row r="36" spans="2:2" ht="20.100000000000001" customHeight="1" x14ac:dyDescent="0.25">
      <c r="B36" s="3"/>
    </row>
    <row r="37" spans="2:2" ht="20.100000000000001" customHeight="1" x14ac:dyDescent="0.25">
      <c r="B37" s="3"/>
    </row>
    <row r="38" spans="2:2" ht="20.100000000000001" customHeight="1" x14ac:dyDescent="0.25">
      <c r="B38" s="3"/>
    </row>
    <row r="39" spans="2:2" ht="20.100000000000001" customHeight="1" x14ac:dyDescent="0.25">
      <c r="B39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DB797-CB0B-4388-9F9E-4BD23CD22139}">
  <dimension ref="B6:G16"/>
  <sheetViews>
    <sheetView workbookViewId="0">
      <selection activeCell="D6" sqref="D6:G16"/>
    </sheetView>
  </sheetViews>
  <sheetFormatPr defaultRowHeight="20.100000000000001" customHeight="1" x14ac:dyDescent="0.3"/>
  <cols>
    <col min="1" max="1" width="3.42578125" style="7" customWidth="1"/>
    <col min="2" max="2" width="36.140625" style="6" customWidth="1"/>
    <col min="3" max="3" width="1.42578125" style="7" customWidth="1"/>
    <col min="4" max="4" width="11" style="7" customWidth="1"/>
    <col min="5" max="5" width="30.85546875" style="7" customWidth="1"/>
    <col min="6" max="6" width="26" style="7" customWidth="1"/>
    <col min="7" max="7" width="26.5703125" style="7" customWidth="1"/>
    <col min="8" max="16384" width="9.140625" style="7"/>
  </cols>
  <sheetData>
    <row r="6" spans="2:7" ht="20.100000000000001" customHeight="1" x14ac:dyDescent="0.3">
      <c r="D6" s="7" t="s">
        <v>237</v>
      </c>
      <c r="E6" s="7" t="s">
        <v>238</v>
      </c>
      <c r="F6" s="7" t="s">
        <v>239</v>
      </c>
      <c r="G6" s="7" t="s">
        <v>240</v>
      </c>
    </row>
    <row r="7" spans="2:7" ht="20.100000000000001" customHeight="1" x14ac:dyDescent="0.3">
      <c r="B7" s="8"/>
      <c r="D7" s="7">
        <v>101</v>
      </c>
      <c r="E7" s="7" t="s">
        <v>250</v>
      </c>
      <c r="F7" s="9" t="s">
        <v>251</v>
      </c>
      <c r="G7" s="7" t="s">
        <v>261</v>
      </c>
    </row>
    <row r="8" spans="2:7" ht="20.100000000000001" customHeight="1" x14ac:dyDescent="0.3">
      <c r="D8" s="7">
        <v>102</v>
      </c>
      <c r="E8" s="7" t="s">
        <v>249</v>
      </c>
      <c r="F8" s="9" t="s">
        <v>252</v>
      </c>
      <c r="G8" s="7" t="s">
        <v>262</v>
      </c>
    </row>
    <row r="9" spans="2:7" ht="20.100000000000001" customHeight="1" x14ac:dyDescent="0.3">
      <c r="D9" s="7">
        <v>103</v>
      </c>
      <c r="E9" s="7" t="s">
        <v>248</v>
      </c>
      <c r="F9" s="9" t="s">
        <v>253</v>
      </c>
      <c r="G9" s="7" t="s">
        <v>263</v>
      </c>
    </row>
    <row r="10" spans="2:7" ht="20.100000000000001" customHeight="1" x14ac:dyDescent="0.3">
      <c r="D10" s="7">
        <v>104</v>
      </c>
      <c r="E10" s="7" t="s">
        <v>247</v>
      </c>
      <c r="F10" s="9" t="s">
        <v>254</v>
      </c>
      <c r="G10" s="7" t="s">
        <v>264</v>
      </c>
    </row>
    <row r="11" spans="2:7" ht="20.100000000000001" customHeight="1" x14ac:dyDescent="0.3">
      <c r="D11" s="7">
        <v>105</v>
      </c>
      <c r="E11" s="7" t="s">
        <v>246</v>
      </c>
      <c r="F11" s="9" t="s">
        <v>255</v>
      </c>
      <c r="G11" s="7" t="s">
        <v>265</v>
      </c>
    </row>
    <row r="12" spans="2:7" ht="20.100000000000001" customHeight="1" x14ac:dyDescent="0.3">
      <c r="D12" s="7">
        <v>106</v>
      </c>
      <c r="E12" s="7" t="s">
        <v>245</v>
      </c>
      <c r="F12" s="9" t="s">
        <v>256</v>
      </c>
      <c r="G12" s="7" t="s">
        <v>266</v>
      </c>
    </row>
    <row r="13" spans="2:7" ht="20.100000000000001" customHeight="1" x14ac:dyDescent="0.3">
      <c r="D13" s="7">
        <v>107</v>
      </c>
      <c r="E13" s="7" t="s">
        <v>244</v>
      </c>
      <c r="F13" s="9" t="s">
        <v>257</v>
      </c>
      <c r="G13" s="7" t="s">
        <v>267</v>
      </c>
    </row>
    <row r="14" spans="2:7" ht="20.100000000000001" customHeight="1" x14ac:dyDescent="0.3">
      <c r="D14" s="7">
        <v>108</v>
      </c>
      <c r="E14" s="7" t="s">
        <v>243</v>
      </c>
      <c r="F14" s="9" t="s">
        <v>258</v>
      </c>
      <c r="G14" s="7" t="s">
        <v>268</v>
      </c>
    </row>
    <row r="15" spans="2:7" ht="20.100000000000001" customHeight="1" x14ac:dyDescent="0.3">
      <c r="D15" s="7">
        <v>109</v>
      </c>
      <c r="E15" s="7" t="s">
        <v>242</v>
      </c>
      <c r="F15" s="9" t="s">
        <v>259</v>
      </c>
      <c r="G15" s="7" t="s">
        <v>269</v>
      </c>
    </row>
    <row r="16" spans="2:7" ht="20.100000000000001" customHeight="1" x14ac:dyDescent="0.3">
      <c r="D16" s="7">
        <v>110</v>
      </c>
      <c r="E16" s="7" t="s">
        <v>241</v>
      </c>
      <c r="F16" s="9" t="s">
        <v>260</v>
      </c>
      <c r="G16" s="7" t="s">
        <v>270</v>
      </c>
    </row>
  </sheetData>
  <hyperlinks>
    <hyperlink ref="F7" r:id="rId1" xr:uid="{19623837-2886-454F-A091-2B21D6AD4842}"/>
    <hyperlink ref="F8" r:id="rId2" xr:uid="{192BF500-8CC2-4F3E-8818-A1EE68A459B3}"/>
    <hyperlink ref="F9" r:id="rId3" xr:uid="{928A63A0-69EA-4177-859D-3A99A4F87187}"/>
    <hyperlink ref="F10" r:id="rId4" xr:uid="{9CEB2016-A1A3-4F29-8A79-3867D407B8A0}"/>
    <hyperlink ref="F11" r:id="rId5" xr:uid="{C1915B3F-3091-46B1-A9E8-E51D9CAC6C97}"/>
    <hyperlink ref="F12" r:id="rId6" xr:uid="{F45366C0-6902-41E1-9449-40108ADCDB67}"/>
    <hyperlink ref="F13" r:id="rId7" xr:uid="{71B0051A-E9A3-4BCE-A815-4E6325A41702}"/>
    <hyperlink ref="F14" r:id="rId8" xr:uid="{4ADB4EFC-CBA4-42C9-8A22-752409903D0D}"/>
    <hyperlink ref="F15" r:id="rId9" xr:uid="{CCF40DBD-FF98-4883-810D-47D115E560CA}"/>
    <hyperlink ref="F16" r:id="rId10" xr:uid="{CA968928-B54F-4644-9999-7C26435BF67C}"/>
  </hyperlinks>
  <pageMargins left="0.7" right="0.7" top="0.75" bottom="0.75" header="0.3" footer="0.3"/>
  <pageSetup paperSize="9" orientation="portrait" r:id="rId11"/>
  <drawing r:id="rId12"/>
  <tableParts count="1"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E2B78-52AD-4895-86D0-CBF16815CFBB}">
  <dimension ref="B6:G16"/>
  <sheetViews>
    <sheetView workbookViewId="0">
      <selection activeCell="D6" sqref="D6:G16"/>
    </sheetView>
  </sheetViews>
  <sheetFormatPr defaultRowHeight="20.100000000000001" customHeight="1" x14ac:dyDescent="0.3"/>
  <cols>
    <col min="1" max="1" width="3.42578125" style="7" customWidth="1"/>
    <col min="2" max="2" width="36.140625" style="6" customWidth="1"/>
    <col min="3" max="3" width="1.7109375" style="7" customWidth="1"/>
    <col min="4" max="4" width="10.42578125" style="7" customWidth="1"/>
    <col min="5" max="5" width="19.42578125" style="7" customWidth="1"/>
    <col min="6" max="6" width="12.5703125" style="7" customWidth="1"/>
    <col min="7" max="7" width="22.28515625" style="7" customWidth="1"/>
    <col min="8" max="16384" width="9.140625" style="7"/>
  </cols>
  <sheetData>
    <row r="6" spans="2:7" ht="20.100000000000001" customHeight="1" x14ac:dyDescent="0.3">
      <c r="D6" s="7" t="s">
        <v>271</v>
      </c>
      <c r="E6" s="7" t="s">
        <v>272</v>
      </c>
      <c r="F6" s="7" t="s">
        <v>273</v>
      </c>
      <c r="G6" s="7" t="s">
        <v>274</v>
      </c>
    </row>
    <row r="7" spans="2:7" ht="20.100000000000001" customHeight="1" x14ac:dyDescent="0.3">
      <c r="B7" s="8"/>
      <c r="D7" s="7" t="s">
        <v>275</v>
      </c>
      <c r="E7" s="7" t="s">
        <v>284</v>
      </c>
      <c r="F7" s="7">
        <v>1200</v>
      </c>
      <c r="G7" s="7">
        <v>2000</v>
      </c>
    </row>
    <row r="8" spans="2:7" ht="20.100000000000001" customHeight="1" x14ac:dyDescent="0.3">
      <c r="D8" s="7" t="s">
        <v>276</v>
      </c>
      <c r="E8" s="7" t="s">
        <v>285</v>
      </c>
      <c r="F8" s="7">
        <v>1300</v>
      </c>
      <c r="G8" s="7">
        <v>2200</v>
      </c>
    </row>
    <row r="9" spans="2:7" ht="20.100000000000001" customHeight="1" x14ac:dyDescent="0.3">
      <c r="D9" s="7" t="s">
        <v>277</v>
      </c>
      <c r="E9" s="7" t="s">
        <v>286</v>
      </c>
      <c r="F9" s="7">
        <v>750</v>
      </c>
      <c r="G9" s="7">
        <v>1400</v>
      </c>
    </row>
    <row r="10" spans="2:7" ht="20.100000000000001" customHeight="1" x14ac:dyDescent="0.3">
      <c r="D10" s="7" t="s">
        <v>278</v>
      </c>
      <c r="E10" s="7" t="s">
        <v>287</v>
      </c>
      <c r="F10" s="7">
        <v>450</v>
      </c>
      <c r="G10" s="7">
        <v>800</v>
      </c>
    </row>
    <row r="11" spans="2:7" ht="20.100000000000001" customHeight="1" x14ac:dyDescent="0.3">
      <c r="D11" s="7" t="s">
        <v>279</v>
      </c>
      <c r="E11" s="7" t="s">
        <v>288</v>
      </c>
      <c r="F11" s="7">
        <v>750</v>
      </c>
      <c r="G11" s="7">
        <v>1350</v>
      </c>
    </row>
    <row r="12" spans="2:7" ht="20.100000000000001" customHeight="1" x14ac:dyDescent="0.3">
      <c r="D12" s="7" t="s">
        <v>280</v>
      </c>
      <c r="E12" s="7" t="s">
        <v>289</v>
      </c>
      <c r="F12" s="7">
        <v>350</v>
      </c>
      <c r="G12" s="7">
        <v>650</v>
      </c>
    </row>
    <row r="13" spans="2:7" ht="20.100000000000001" customHeight="1" x14ac:dyDescent="0.3">
      <c r="D13" s="7" t="s">
        <v>281</v>
      </c>
      <c r="E13" s="7" t="s">
        <v>290</v>
      </c>
      <c r="F13" s="7">
        <v>1400</v>
      </c>
      <c r="G13" s="7">
        <v>2400</v>
      </c>
    </row>
    <row r="14" spans="2:7" ht="20.100000000000001" customHeight="1" x14ac:dyDescent="0.3">
      <c r="D14" s="7" t="s">
        <v>282</v>
      </c>
      <c r="E14" s="7" t="s">
        <v>291</v>
      </c>
      <c r="F14" s="7">
        <v>100</v>
      </c>
      <c r="G14" s="7">
        <v>150</v>
      </c>
    </row>
    <row r="15" spans="2:7" ht="20.100000000000001" customHeight="1" x14ac:dyDescent="0.3">
      <c r="D15" s="7" t="s">
        <v>313</v>
      </c>
      <c r="E15" s="7" t="s">
        <v>292</v>
      </c>
      <c r="F15" s="7">
        <v>1200</v>
      </c>
      <c r="G15" s="7">
        <v>1800</v>
      </c>
    </row>
    <row r="16" spans="2:7" ht="20.100000000000001" customHeight="1" x14ac:dyDescent="0.3">
      <c r="D16" s="7" t="s">
        <v>283</v>
      </c>
      <c r="E16" s="7" t="s">
        <v>293</v>
      </c>
      <c r="F16" s="7">
        <v>250</v>
      </c>
      <c r="G16" s="7">
        <v>400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78E3D-F564-4504-90DD-1A092F7C33B6}">
  <dimension ref="B6:H16"/>
  <sheetViews>
    <sheetView workbookViewId="0">
      <selection activeCell="D16" sqref="D16"/>
    </sheetView>
  </sheetViews>
  <sheetFormatPr defaultRowHeight="20.100000000000001" customHeight="1" x14ac:dyDescent="0.3"/>
  <cols>
    <col min="1" max="1" width="3.42578125" style="7" customWidth="1"/>
    <col min="2" max="2" width="36.140625" style="6" customWidth="1"/>
    <col min="3" max="3" width="2" style="7" customWidth="1"/>
    <col min="4" max="4" width="12.42578125" style="7" customWidth="1"/>
    <col min="5" max="5" width="23.140625" style="7" customWidth="1"/>
    <col min="6" max="6" width="26.42578125" style="7" customWidth="1"/>
    <col min="7" max="7" width="17" style="7" customWidth="1"/>
    <col min="8" max="8" width="28.7109375" style="7" customWidth="1"/>
    <col min="9" max="16384" width="9.140625" style="7"/>
  </cols>
  <sheetData>
    <row r="6" spans="2:8" ht="20.100000000000001" customHeight="1" x14ac:dyDescent="0.3">
      <c r="D6" s="7" t="s">
        <v>271</v>
      </c>
      <c r="E6" s="7" t="s">
        <v>272</v>
      </c>
      <c r="F6" s="7" t="s">
        <v>294</v>
      </c>
      <c r="G6" s="7" t="s">
        <v>295</v>
      </c>
      <c r="H6" s="7" t="s">
        <v>240</v>
      </c>
    </row>
    <row r="7" spans="2:8" ht="20.100000000000001" customHeight="1" x14ac:dyDescent="0.3">
      <c r="B7" s="8"/>
      <c r="D7" s="7" t="s">
        <v>275</v>
      </c>
      <c r="E7" s="7" t="s">
        <v>284</v>
      </c>
      <c r="F7" s="7" t="s">
        <v>296</v>
      </c>
      <c r="G7" s="7">
        <v>8068906736</v>
      </c>
      <c r="H7" s="7" t="s">
        <v>300</v>
      </c>
    </row>
    <row r="8" spans="2:8" ht="20.100000000000001" customHeight="1" x14ac:dyDescent="0.3">
      <c r="D8" s="7" t="s">
        <v>276</v>
      </c>
      <c r="E8" s="7" t="s">
        <v>285</v>
      </c>
      <c r="F8" s="7" t="s">
        <v>297</v>
      </c>
      <c r="G8" s="7">
        <v>8104253044</v>
      </c>
      <c r="H8" s="7" t="s">
        <v>301</v>
      </c>
    </row>
    <row r="9" spans="2:8" ht="20.100000000000001" customHeight="1" x14ac:dyDescent="0.3">
      <c r="D9" s="7" t="s">
        <v>277</v>
      </c>
      <c r="E9" s="7" t="s">
        <v>286</v>
      </c>
      <c r="F9" s="7" t="s">
        <v>298</v>
      </c>
      <c r="G9" s="7">
        <v>8084152310</v>
      </c>
      <c r="H9" s="7" t="s">
        <v>302</v>
      </c>
    </row>
    <row r="10" spans="2:8" ht="20.100000000000001" customHeight="1" x14ac:dyDescent="0.3">
      <c r="D10" s="7" t="s">
        <v>278</v>
      </c>
      <c r="E10" s="7" t="s">
        <v>287</v>
      </c>
      <c r="F10" s="7" t="s">
        <v>296</v>
      </c>
      <c r="G10" s="7">
        <v>8066196702</v>
      </c>
      <c r="H10" s="7" t="s">
        <v>300</v>
      </c>
    </row>
    <row r="11" spans="2:8" ht="20.100000000000001" customHeight="1" x14ac:dyDescent="0.3">
      <c r="D11" s="7" t="s">
        <v>279</v>
      </c>
      <c r="E11" s="7" t="s">
        <v>288</v>
      </c>
      <c r="F11" s="7" t="s">
        <v>296</v>
      </c>
      <c r="G11" s="7">
        <v>7066196724</v>
      </c>
      <c r="H11" s="7" t="s">
        <v>300</v>
      </c>
    </row>
    <row r="12" spans="2:8" ht="20.100000000000001" customHeight="1" x14ac:dyDescent="0.3">
      <c r="D12" s="7" t="s">
        <v>280</v>
      </c>
      <c r="E12" s="7" t="s">
        <v>289</v>
      </c>
      <c r="F12" s="7" t="s">
        <v>297</v>
      </c>
      <c r="G12" s="7">
        <v>8106998017</v>
      </c>
      <c r="H12" s="7" t="s">
        <v>301</v>
      </c>
    </row>
    <row r="13" spans="2:8" ht="20.100000000000001" customHeight="1" x14ac:dyDescent="0.3">
      <c r="D13" s="7" t="s">
        <v>281</v>
      </c>
      <c r="E13" s="7" t="s">
        <v>290</v>
      </c>
      <c r="F13" s="7" t="s">
        <v>297</v>
      </c>
      <c r="G13" s="7">
        <v>8021234540</v>
      </c>
      <c r="H13" s="7" t="s">
        <v>301</v>
      </c>
    </row>
    <row r="14" spans="2:8" ht="20.100000000000001" customHeight="1" x14ac:dyDescent="0.3">
      <c r="D14" s="7" t="s">
        <v>282</v>
      </c>
      <c r="E14" s="7" t="s">
        <v>291</v>
      </c>
      <c r="F14" s="7" t="s">
        <v>298</v>
      </c>
      <c r="G14" s="7">
        <v>8068714118</v>
      </c>
      <c r="H14" s="7" t="s">
        <v>302</v>
      </c>
    </row>
    <row r="15" spans="2:8" ht="20.100000000000001" customHeight="1" x14ac:dyDescent="0.3">
      <c r="D15" s="7" t="s">
        <v>313</v>
      </c>
      <c r="E15" s="7" t="s">
        <v>292</v>
      </c>
      <c r="F15" s="7" t="s">
        <v>298</v>
      </c>
      <c r="G15" s="7">
        <v>8181959847</v>
      </c>
      <c r="H15" s="7" t="s">
        <v>302</v>
      </c>
    </row>
    <row r="16" spans="2:8" ht="20.100000000000001" customHeight="1" x14ac:dyDescent="0.3">
      <c r="D16" s="7" t="s">
        <v>283</v>
      </c>
      <c r="E16" s="7" t="s">
        <v>293</v>
      </c>
      <c r="F16" s="7" t="s">
        <v>299</v>
      </c>
      <c r="G16" s="7">
        <v>8106998018</v>
      </c>
      <c r="H16" s="7" t="s">
        <v>303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ED68B-9C5E-4342-9A46-7B2E8C040A5E}">
  <dimension ref="B6:J15"/>
  <sheetViews>
    <sheetView workbookViewId="0">
      <selection activeCell="H16" sqref="H16"/>
    </sheetView>
  </sheetViews>
  <sheetFormatPr defaultRowHeight="20.100000000000001" customHeight="1" x14ac:dyDescent="0.3"/>
  <cols>
    <col min="1" max="1" width="3.42578125" style="7" customWidth="1"/>
    <col min="2" max="2" width="36.140625" style="6" customWidth="1"/>
    <col min="3" max="3" width="2.85546875" style="7" customWidth="1"/>
    <col min="4" max="4" width="11.42578125" style="7" customWidth="1"/>
    <col min="5" max="5" width="25" style="7" customWidth="1"/>
    <col min="6" max="6" width="24.42578125" style="7" customWidth="1"/>
    <col min="7" max="7" width="19" style="7" customWidth="1"/>
    <col min="8" max="8" width="10.85546875" style="7" customWidth="1"/>
    <col min="9" max="9" width="13.85546875" style="7" customWidth="1"/>
    <col min="10" max="10" width="11" style="7" customWidth="1"/>
    <col min="11" max="16384" width="9.140625" style="7"/>
  </cols>
  <sheetData>
    <row r="6" spans="2:10" ht="20.100000000000001" customHeight="1" x14ac:dyDescent="0.3">
      <c r="D6" s="7" t="s">
        <v>271</v>
      </c>
      <c r="E6" s="7" t="s">
        <v>272</v>
      </c>
      <c r="F6" s="7" t="s">
        <v>294</v>
      </c>
      <c r="G6" s="7" t="s">
        <v>0</v>
      </c>
      <c r="H6" s="7" t="s">
        <v>304</v>
      </c>
      <c r="I6" s="7" t="s">
        <v>273</v>
      </c>
      <c r="J6" s="7" t="s">
        <v>305</v>
      </c>
    </row>
    <row r="7" spans="2:10" ht="20.100000000000001" customHeight="1" x14ac:dyDescent="0.3">
      <c r="B7" s="8"/>
      <c r="D7" s="7" t="s">
        <v>275</v>
      </c>
      <c r="E7" s="7" t="str">
        <f>IFERROR(VLOOKUP(Table4[[#This Row],[P_code]],Products[#All],2,0),"")</f>
        <v>Jeans</v>
      </c>
      <c r="F7" s="7" t="str">
        <f>IFERROR(VLOOKUP(Table4[[#This Row],[P_code]],Vendors[#All],3,0),"")</f>
        <v>Zahid Garmet</v>
      </c>
      <c r="G7" s="10">
        <v>46152</v>
      </c>
      <c r="H7" s="7">
        <v>24</v>
      </c>
      <c r="I7" s="7">
        <f>IFERROR(VLOOKUP(Table4[[#This Row],[P_code]],Products[#All],3,0),"")</f>
        <v>1200</v>
      </c>
      <c r="J7" s="7">
        <f>IFERROR(Table4[[#This Row],[Cost]]*Table4[[#This Row],[Unit]],"")</f>
        <v>28800</v>
      </c>
    </row>
    <row r="8" spans="2:10" ht="20.100000000000001" customHeight="1" x14ac:dyDescent="0.3">
      <c r="D8" s="7" t="s">
        <v>276</v>
      </c>
      <c r="E8" s="7" t="str">
        <f>IFERROR(VLOOKUP(Table4[[#This Row],[P_code]],Products[#All],2,0),"")</f>
        <v>Cotton</v>
      </c>
      <c r="F8" s="7" t="str">
        <f>IFERROR(VLOOKUP(Table4[[#This Row],[P_code]],Vendors[#All],3,0),"")</f>
        <v>Arsel Traders</v>
      </c>
      <c r="G8" s="10">
        <v>46152</v>
      </c>
      <c r="H8" s="7">
        <v>36</v>
      </c>
      <c r="I8" s="7">
        <f>IFERROR(VLOOKUP(Table4[[#This Row],[P_code]],Products[#All],3,0),"")</f>
        <v>1300</v>
      </c>
      <c r="J8" s="7">
        <f>IFERROR(Table4[[#This Row],[Cost]]*Table4[[#This Row],[Unit]],"")</f>
        <v>46800</v>
      </c>
    </row>
    <row r="9" spans="2:10" ht="20.100000000000001" customHeight="1" x14ac:dyDescent="0.3">
      <c r="D9" s="7" t="s">
        <v>277</v>
      </c>
      <c r="E9" s="7" t="str">
        <f>IFERROR(VLOOKUP(Table4[[#This Row],[P_code]],Products[#All],2,0),"")</f>
        <v>Paint</v>
      </c>
      <c r="F9" s="7" t="str">
        <f>IFERROR(VLOOKUP(Table4[[#This Row],[P_code]],Vendors[#All],3,0),"")</f>
        <v>Musa Garmets</v>
      </c>
      <c r="G9" s="10">
        <v>46153</v>
      </c>
      <c r="H9" s="7">
        <v>33</v>
      </c>
      <c r="I9" s="7">
        <f>IFERROR(VLOOKUP(Table4[[#This Row],[P_code]],Products[#All],3,0),"")</f>
        <v>750</v>
      </c>
      <c r="J9" s="7">
        <f>IFERROR(Table4[[#This Row],[Cost]]*Table4[[#This Row],[Unit]],"")</f>
        <v>24750</v>
      </c>
    </row>
    <row r="10" spans="2:10" ht="20.100000000000001" customHeight="1" x14ac:dyDescent="0.3">
      <c r="D10" s="7" t="s">
        <v>278</v>
      </c>
      <c r="E10" s="7" t="str">
        <f>IFERROR(VLOOKUP(Table4[[#This Row],[P_code]],Products[#All],2,0),"")</f>
        <v>Casual shirt</v>
      </c>
      <c r="F10" s="7" t="str">
        <f>IFERROR(VLOOKUP(Table4[[#This Row],[P_code]],Vendors[#All],3,0),"")</f>
        <v>Zahid Garmet</v>
      </c>
      <c r="G10" s="10">
        <v>46166</v>
      </c>
      <c r="H10" s="7">
        <v>19</v>
      </c>
      <c r="I10" s="7">
        <f>IFERROR(VLOOKUP(Table4[[#This Row],[P_code]],Products[#All],3,0),"")</f>
        <v>450</v>
      </c>
      <c r="J10" s="7">
        <f>IFERROR(Table4[[#This Row],[Cost]]*Table4[[#This Row],[Unit]],"")</f>
        <v>8550</v>
      </c>
    </row>
    <row r="11" spans="2:10" ht="20.100000000000001" customHeight="1" x14ac:dyDescent="0.3">
      <c r="D11" s="7" t="s">
        <v>280</v>
      </c>
      <c r="E11" s="7" t="str">
        <f>IFERROR(VLOOKUP(Table4[[#This Row],[P_code]],Products[#All],2,0),"")</f>
        <v>Shorts three quarter</v>
      </c>
      <c r="F11" s="7" t="str">
        <f>IFERROR(VLOOKUP(Table4[[#This Row],[P_code]],Vendors[#All],3,0),"")</f>
        <v>Arsel Traders</v>
      </c>
      <c r="G11" s="10">
        <v>46166</v>
      </c>
      <c r="H11" s="7">
        <v>23</v>
      </c>
      <c r="I11" s="7">
        <f>IFERROR(VLOOKUP(Table4[[#This Row],[P_code]],Products[#All],3,0),"")</f>
        <v>350</v>
      </c>
      <c r="J11" s="7">
        <f>IFERROR(Table4[[#This Row],[Cost]]*Table4[[#This Row],[Unit]],"")</f>
        <v>8050</v>
      </c>
    </row>
    <row r="12" spans="2:10" ht="20.100000000000001" customHeight="1" x14ac:dyDescent="0.3">
      <c r="D12" s="7" t="s">
        <v>279</v>
      </c>
      <c r="E12" s="7" t="str">
        <f>IFERROR(VLOOKUP(Table4[[#This Row],[P_code]],Products[#All],2,0),"")</f>
        <v>T-Shirt</v>
      </c>
      <c r="F12" s="7" t="str">
        <f>IFERROR(VLOOKUP(Table4[[#This Row],[P_code]],Vendors[#All],3,0),"")</f>
        <v>Zahid Garmet</v>
      </c>
      <c r="G12" s="10">
        <v>46166</v>
      </c>
      <c r="H12" s="7">
        <v>45</v>
      </c>
      <c r="I12" s="7">
        <f>IFERROR(VLOOKUP(Table4[[#This Row],[P_code]],Products[#All],3,0),"")</f>
        <v>750</v>
      </c>
      <c r="J12" s="7">
        <f>IFERROR(Table4[[#This Row],[Cost]]*Table4[[#This Row],[Unit]],"")</f>
        <v>33750</v>
      </c>
    </row>
    <row r="13" spans="2:10" ht="20.100000000000001" customHeight="1" x14ac:dyDescent="0.3">
      <c r="D13" s="7" t="s">
        <v>283</v>
      </c>
      <c r="E13" s="7" t="str">
        <f>IFERROR(VLOOKUP(Table4[[#This Row],[P_code]],Products[#All],2,0),"")</f>
        <v>Pcap</v>
      </c>
      <c r="F13" s="7" t="str">
        <f>IFERROR(VLOOKUP(Table4[[#This Row],[P_code]],Vendors[#All],3,0),"")</f>
        <v>Fashion collections</v>
      </c>
      <c r="G13" s="10">
        <v>46166</v>
      </c>
      <c r="H13" s="7">
        <v>17</v>
      </c>
      <c r="I13" s="7">
        <f>IFERROR(VLOOKUP(Table4[[#This Row],[P_code]],Products[#All],3,0),"")</f>
        <v>250</v>
      </c>
      <c r="J13" s="7">
        <f>IFERROR(Table4[[#This Row],[Cost]]*Table4[[#This Row],[Unit]],"")</f>
        <v>4250</v>
      </c>
    </row>
    <row r="14" spans="2:10" ht="20.100000000000001" customHeight="1" x14ac:dyDescent="0.3">
      <c r="D14" s="7" t="s">
        <v>313</v>
      </c>
      <c r="E14" s="7" t="str">
        <f>IFERROR(VLOOKUP(Table4[[#This Row],[P_code]],Products[#All],2,0),"")</f>
        <v>Polo shirt</v>
      </c>
      <c r="F14" s="7" t="str">
        <f>IFERROR(VLOOKUP(Table4[[#This Row],[P_code]],Vendors[#All],3,0),"")</f>
        <v>Musa Garmets</v>
      </c>
      <c r="G14" s="10">
        <v>46166</v>
      </c>
      <c r="H14" s="7">
        <v>22</v>
      </c>
      <c r="I14" s="7">
        <f>IFERROR(VLOOKUP(Table4[[#This Row],[P_code]],Products[#All],3,0),"")</f>
        <v>1200</v>
      </c>
      <c r="J14" s="7">
        <f>IFERROR(Table4[[#This Row],[Cost]]*Table4[[#This Row],[Unit]],"")</f>
        <v>26400</v>
      </c>
    </row>
    <row r="15" spans="2:10" ht="20.100000000000001" customHeight="1" x14ac:dyDescent="0.3">
      <c r="D15" s="7" t="s">
        <v>281</v>
      </c>
      <c r="E15" s="7" t="str">
        <f>IFERROR(VLOOKUP(Table4[[#This Row],[P_code]],Products[#All],2,0),"")</f>
        <v>Track Suit</v>
      </c>
      <c r="F15" s="7" t="str">
        <f>IFERROR(VLOOKUP(Table4[[#This Row],[P_code]],Vendors[#All],3,0),"")</f>
        <v>Arsel Traders</v>
      </c>
      <c r="G15" s="10">
        <v>46166</v>
      </c>
      <c r="H15" s="7">
        <v>33</v>
      </c>
      <c r="I15" s="7">
        <f>IFERROR(VLOOKUP(Table4[[#This Row],[P_code]],Products[#All],3,0),"")</f>
        <v>1400</v>
      </c>
      <c r="J15" s="7">
        <f>IFERROR(Table4[[#This Row],[Cost]]*Table4[[#This Row],[Unit]],"")</f>
        <v>46200</v>
      </c>
    </row>
  </sheetData>
  <dataValidations count="1">
    <dataValidation type="list" allowBlank="1" showInputMessage="1" showErrorMessage="1" sqref="D7:D15" xr:uid="{271DEAD5-6D69-4A58-8792-82152103ED74}">
      <formula1>Pcode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0AFCB-10AA-4C85-83D3-ACE7FA7B1AAD}">
  <dimension ref="B6:L17"/>
  <sheetViews>
    <sheetView workbookViewId="0">
      <selection activeCell="D6" sqref="D6:L17"/>
    </sheetView>
  </sheetViews>
  <sheetFormatPr defaultRowHeight="20.100000000000001" customHeight="1" x14ac:dyDescent="0.3"/>
  <cols>
    <col min="1" max="1" width="3.42578125" style="7" customWidth="1"/>
    <col min="2" max="2" width="36.140625" style="6" customWidth="1"/>
    <col min="3" max="3" width="1.5703125" style="7" customWidth="1"/>
    <col min="4" max="4" width="10.7109375" style="7" customWidth="1"/>
    <col min="5" max="5" width="18.85546875" style="7" customWidth="1"/>
    <col min="6" max="6" width="11.42578125" style="7" customWidth="1"/>
    <col min="7" max="7" width="20.7109375" style="7" customWidth="1"/>
    <col min="8" max="8" width="15.7109375" style="7" customWidth="1"/>
    <col min="9" max="9" width="14.28515625" style="7" customWidth="1"/>
    <col min="10" max="10" width="11.140625" style="7" customWidth="1"/>
    <col min="11" max="11" width="15.85546875" style="7" customWidth="1"/>
    <col min="12" max="12" width="12" style="7" customWidth="1"/>
    <col min="13" max="16384" width="9.140625" style="7"/>
  </cols>
  <sheetData>
    <row r="6" spans="2:12" ht="20.100000000000001" customHeight="1" x14ac:dyDescent="0.3">
      <c r="D6" s="7" t="s">
        <v>306</v>
      </c>
      <c r="E6" s="7" t="s">
        <v>238</v>
      </c>
      <c r="F6" s="7" t="s">
        <v>271</v>
      </c>
      <c r="G6" s="7" t="s">
        <v>272</v>
      </c>
      <c r="H6" s="7" t="s">
        <v>0</v>
      </c>
      <c r="I6" s="7" t="s">
        <v>307</v>
      </c>
      <c r="J6" s="7" t="s">
        <v>304</v>
      </c>
      <c r="K6" s="7" t="s">
        <v>308</v>
      </c>
      <c r="L6" s="7" t="s">
        <v>305</v>
      </c>
    </row>
    <row r="7" spans="2:12" ht="20.100000000000001" customHeight="1" x14ac:dyDescent="0.3">
      <c r="B7" s="8"/>
      <c r="D7" s="7">
        <v>101</v>
      </c>
      <c r="E7" s="7" t="str">
        <f>IFERROR(VLOOKUP(Table5[[#This Row],[Cust_id]],Custdata[#All],2,0),"")</f>
        <v>chisom trump</v>
      </c>
      <c r="F7" s="7" t="s">
        <v>275</v>
      </c>
      <c r="G7" s="7" t="str">
        <f>IFERROR(VLOOKUP(Table5[[#This Row],[P_code]],Products[#All],2,0),"")</f>
        <v>Jeans</v>
      </c>
      <c r="H7" s="10">
        <v>46166</v>
      </c>
      <c r="I7" s="7">
        <f>IFERROR(VLOOKUP(Table5[[#This Row],[P_code]],Table6[#All],6,0),"")</f>
        <v>21</v>
      </c>
      <c r="J7" s="7">
        <v>3</v>
      </c>
      <c r="K7" s="7">
        <f>IFERROR(VLOOKUP(Table5[[#This Row],[P_code]],Products[#All],4,0),"")</f>
        <v>2000</v>
      </c>
      <c r="L7" s="7">
        <f>IFERROR(Table5[[#This Row],[Selling Price]]*Table5[[#This Row],[Unit]],"")</f>
        <v>6000</v>
      </c>
    </row>
    <row r="8" spans="2:12" ht="20.100000000000001" customHeight="1" x14ac:dyDescent="0.3">
      <c r="D8" s="7">
        <v>103</v>
      </c>
      <c r="E8" s="7" t="str">
        <f>IFERROR(VLOOKUP(Table5[[#This Row],[Cust_id]],Custdata[#All],2,0),"")</f>
        <v>numan minhas</v>
      </c>
      <c r="F8" s="7" t="s">
        <v>278</v>
      </c>
      <c r="G8" s="7" t="str">
        <f>IFERROR(VLOOKUP(Table5[[#This Row],[P_code]],Products[#All],2,0),"")</f>
        <v>Casual shirt</v>
      </c>
      <c r="H8" s="10">
        <v>46166</v>
      </c>
      <c r="I8" s="7">
        <f>IFERROR(VLOOKUP(Table5[[#This Row],[P_code]],Table6[#All],6,0),"")</f>
        <v>6</v>
      </c>
      <c r="J8" s="7">
        <v>6</v>
      </c>
      <c r="K8" s="7">
        <f>IFERROR(VLOOKUP(Table5[[#This Row],[P_code]],Products[#All],4,0),"")</f>
        <v>800</v>
      </c>
      <c r="L8" s="7">
        <f>IFERROR(Table5[[#This Row],[Selling Price]]*Table5[[#This Row],[Unit]],"")</f>
        <v>4800</v>
      </c>
    </row>
    <row r="9" spans="2:12" ht="20.100000000000001" customHeight="1" x14ac:dyDescent="0.3">
      <c r="D9" s="7">
        <v>103</v>
      </c>
      <c r="E9" s="7" t="str">
        <f>IFERROR(VLOOKUP(Table5[[#This Row],[Cust_id]],Custdata[#All],2,0),"")</f>
        <v>numan minhas</v>
      </c>
      <c r="F9" s="7" t="s">
        <v>279</v>
      </c>
      <c r="G9" s="7" t="str">
        <f>IFERROR(VLOOKUP(Table5[[#This Row],[P_code]],Products[#All],2,0),"")</f>
        <v>T-Shirt</v>
      </c>
      <c r="H9" s="10">
        <v>46166</v>
      </c>
      <c r="I9" s="7">
        <f>IFERROR(VLOOKUP(Table5[[#This Row],[P_code]],Table6[#All],6,0),"")</f>
        <v>40</v>
      </c>
      <c r="J9" s="7">
        <v>5</v>
      </c>
      <c r="K9" s="7">
        <f>IFERROR(VLOOKUP(Table5[[#This Row],[P_code]],Products[#All],4,0),"")</f>
        <v>1350</v>
      </c>
      <c r="L9" s="7">
        <f>IFERROR(Table5[[#This Row],[Selling Price]]*Table5[[#This Row],[Unit]],"")</f>
        <v>6750</v>
      </c>
    </row>
    <row r="10" spans="2:12" ht="20.100000000000001" customHeight="1" x14ac:dyDescent="0.3">
      <c r="D10" s="7">
        <v>109</v>
      </c>
      <c r="E10" s="7" t="str">
        <f>IFERROR(VLOOKUP(Table5[[#This Row],[Cust_id]],Custdata[#All],2,0),"")</f>
        <v>harris shabir</v>
      </c>
      <c r="F10" s="7" t="s">
        <v>280</v>
      </c>
      <c r="G10" s="7" t="str">
        <f>IFERROR(VLOOKUP(Table5[[#This Row],[P_code]],Products[#All],2,0),"")</f>
        <v>Shorts three quarter</v>
      </c>
      <c r="H10" s="10">
        <v>46166</v>
      </c>
      <c r="I10" s="7">
        <f>IFERROR(VLOOKUP(Table5[[#This Row],[P_code]],Table6[#All],6,0),"")</f>
        <v>10</v>
      </c>
      <c r="J10" s="7">
        <v>13</v>
      </c>
      <c r="K10" s="7">
        <f>IFERROR(VLOOKUP(Table5[[#This Row],[P_code]],Products[#All],4,0),"")</f>
        <v>650</v>
      </c>
      <c r="L10" s="7">
        <f>IFERROR(Table5[[#This Row],[Selling Price]]*Table5[[#This Row],[Unit]],"")</f>
        <v>8450</v>
      </c>
    </row>
    <row r="11" spans="2:12" ht="20.100000000000001" customHeight="1" x14ac:dyDescent="0.3">
      <c r="D11" s="7">
        <v>104</v>
      </c>
      <c r="E11" s="7" t="str">
        <f>IFERROR(VLOOKUP(Table5[[#This Row],[Cust_id]],Custdata[#All],2,0),"")</f>
        <v>zahid zahanjir</v>
      </c>
      <c r="F11" s="7" t="s">
        <v>278</v>
      </c>
      <c r="G11" s="7" t="str">
        <f>IFERROR(VLOOKUP(Table5[[#This Row],[P_code]],Products[#All],2,0),"")</f>
        <v>Casual shirt</v>
      </c>
      <c r="H11" s="10">
        <v>46166</v>
      </c>
      <c r="I11" s="7">
        <f>IFERROR(VLOOKUP(Table5[[#This Row],[P_code]],Table6[#All],6,0),"")</f>
        <v>6</v>
      </c>
      <c r="J11" s="7">
        <v>7</v>
      </c>
      <c r="K11" s="7">
        <f>IFERROR(VLOOKUP(Table5[[#This Row],[P_code]],Products[#All],4,0),"")</f>
        <v>800</v>
      </c>
      <c r="L11" s="7">
        <f>IFERROR(Table5[[#This Row],[Selling Price]]*Table5[[#This Row],[Unit]],"")</f>
        <v>5600</v>
      </c>
    </row>
    <row r="12" spans="2:12" ht="20.100000000000001" customHeight="1" x14ac:dyDescent="0.3">
      <c r="D12" s="7">
        <v>109</v>
      </c>
      <c r="E12" s="7" t="str">
        <f>IFERROR(VLOOKUP(Table5[[#This Row],[Cust_id]],Custdata[#All],2,0),"")</f>
        <v>harris shabir</v>
      </c>
      <c r="F12" s="7" t="s">
        <v>283</v>
      </c>
      <c r="G12" s="7" t="str">
        <f>IFERROR(VLOOKUP(Table5[[#This Row],[P_code]],Products[#All],2,0),"")</f>
        <v>Pcap</v>
      </c>
      <c r="H12" s="10">
        <v>46166</v>
      </c>
      <c r="I12" s="7">
        <f>IFERROR(VLOOKUP(Table5[[#This Row],[P_code]],Table6[#All],6,0),"")</f>
        <v>12</v>
      </c>
      <c r="J12" s="7">
        <v>5</v>
      </c>
      <c r="K12" s="7">
        <f>IFERROR(VLOOKUP(Table5[[#This Row],[P_code]],Products[#All],4,0),"")</f>
        <v>400</v>
      </c>
      <c r="L12" s="7">
        <f>IFERROR(Table5[[#This Row],[Selling Price]]*Table5[[#This Row],[Unit]],"")</f>
        <v>2000</v>
      </c>
    </row>
    <row r="13" spans="2:12" ht="20.100000000000001" customHeight="1" x14ac:dyDescent="0.3">
      <c r="D13" s="7">
        <v>107</v>
      </c>
      <c r="E13" s="7" t="str">
        <f>IFERROR(VLOOKUP(Table5[[#This Row],[Cust_id]],Custdata[#All],2,0),"")</f>
        <v>muhammed musa</v>
      </c>
      <c r="F13" s="7" t="s">
        <v>313</v>
      </c>
      <c r="G13" s="7" t="str">
        <f>IFERROR(VLOOKUP(Table5[[#This Row],[P_code]],Products[#All],2,0),"")</f>
        <v>Polo shirt</v>
      </c>
      <c r="H13" s="10">
        <v>46166</v>
      </c>
      <c r="I13" s="7">
        <f>IFERROR(VLOOKUP(Table5[[#This Row],[P_code]],Table6[#All],6,0),"")</f>
        <v>15</v>
      </c>
      <c r="J13" s="7">
        <v>7</v>
      </c>
      <c r="K13" s="7">
        <f>IFERROR(VLOOKUP(Table5[[#This Row],[P_code]],Products[#All],4,0),"")</f>
        <v>1800</v>
      </c>
      <c r="L13" s="7">
        <f>IFERROR(Table5[[#This Row],[Selling Price]]*Table5[[#This Row],[Unit]],"")</f>
        <v>12600</v>
      </c>
    </row>
    <row r="14" spans="2:12" ht="20.100000000000001" customHeight="1" x14ac:dyDescent="0.3">
      <c r="E14" s="7" t="str">
        <f>IFERROR(VLOOKUP(Table5[[#This Row],[Cust_id]],Custdata[#All],2,0),"")</f>
        <v/>
      </c>
      <c r="G14" s="7" t="str">
        <f>IFERROR(VLOOKUP(Table5[[#This Row],[P_code]],Products[#All],2,0),"")</f>
        <v/>
      </c>
      <c r="H14" s="10"/>
      <c r="I14" s="7" t="str">
        <f>IFERROR(VLOOKUP(Table5[[#This Row],[P_code]],Table6[#All],6,0),"")</f>
        <v/>
      </c>
      <c r="K14" s="7" t="str">
        <f>IFERROR(VLOOKUP(Table5[[#This Row],[P_code]],Products[#All],4,0),"")</f>
        <v/>
      </c>
      <c r="L14" s="7" t="str">
        <f>IFERROR(Table5[[#This Row],[Selling Price]]*Table5[[#This Row],[Unit]],"")</f>
        <v/>
      </c>
    </row>
    <row r="15" spans="2:12" ht="20.100000000000001" customHeight="1" x14ac:dyDescent="0.3">
      <c r="E15" s="7" t="str">
        <f>IFERROR(VLOOKUP(Table5[[#This Row],[Cust_id]],Custdata[#All],2,0),"")</f>
        <v/>
      </c>
      <c r="G15" s="7" t="str">
        <f>IFERROR(VLOOKUP(Table5[[#This Row],[P_code]],Products[#All],2,0),"")</f>
        <v/>
      </c>
      <c r="H15" s="10"/>
      <c r="I15" s="7" t="str">
        <f>IFERROR(VLOOKUP(Table5[[#This Row],[P_code]],Table6[#All],6,0),"")</f>
        <v/>
      </c>
      <c r="K15" s="7" t="str">
        <f>IFERROR(VLOOKUP(Table5[[#This Row],[P_code]],Products[#All],4,0),"")</f>
        <v/>
      </c>
      <c r="L15" s="7" t="str">
        <f>IFERROR(Table5[[#This Row],[Selling Price]]*Table5[[#This Row],[Unit]],"")</f>
        <v/>
      </c>
    </row>
    <row r="16" spans="2:12" ht="20.100000000000001" customHeight="1" x14ac:dyDescent="0.3">
      <c r="E16" s="7" t="str">
        <f>IFERROR(VLOOKUP(Table5[[#This Row],[Cust_id]],Custdata[#All],2,0),"")</f>
        <v/>
      </c>
      <c r="G16" s="7" t="str">
        <f>IFERROR(VLOOKUP(Table5[[#This Row],[P_code]],Products[#All],2,0),"")</f>
        <v/>
      </c>
      <c r="H16" s="10"/>
      <c r="I16" s="7" t="str">
        <f>IFERROR(VLOOKUP(Table5[[#This Row],[P_code]],Table6[#All],6,0),"")</f>
        <v/>
      </c>
      <c r="K16" s="7" t="str">
        <f>IFERROR(VLOOKUP(Table5[[#This Row],[P_code]],Products[#All],4,0),"")</f>
        <v/>
      </c>
      <c r="L16" s="7" t="str">
        <f>IFERROR(Table5[[#This Row],[Selling Price]]*Table5[[#This Row],[Unit]],"")</f>
        <v/>
      </c>
    </row>
    <row r="17" spans="5:12" ht="20.100000000000001" customHeight="1" x14ac:dyDescent="0.3">
      <c r="E17" s="7" t="str">
        <f>IFERROR(VLOOKUP(Table5[[#This Row],[Cust_id]],Custdata[#All],2,0),"")</f>
        <v/>
      </c>
      <c r="G17" s="7" t="str">
        <f>IFERROR(VLOOKUP(Table5[[#This Row],[P_code]],Products[#All],2,0),"")</f>
        <v/>
      </c>
      <c r="H17" s="10"/>
      <c r="I17" s="7" t="str">
        <f>IFERROR(VLOOKUP(Table5[[#This Row],[P_code]],Table6[#All],6,0),"")</f>
        <v/>
      </c>
      <c r="K17" s="7" t="str">
        <f>IFERROR(VLOOKUP(Table5[[#This Row],[P_code]],Products[#All],4,0),"")</f>
        <v/>
      </c>
      <c r="L17" s="7" t="str">
        <f>IFERROR(Table5[[#This Row],[Selling Price]]*Table5[[#This Row],[Unit]],"")</f>
        <v/>
      </c>
    </row>
  </sheetData>
  <dataValidations count="2">
    <dataValidation type="list" allowBlank="1" showInputMessage="1" showErrorMessage="1" sqref="D7:D17" xr:uid="{5ED04A1A-9907-4554-807C-FE2B274349F0}">
      <formula1>Custid</formula1>
    </dataValidation>
    <dataValidation type="list" allowBlank="1" showInputMessage="1" showErrorMessage="1" sqref="F7:F17" xr:uid="{94885ADF-1A8A-4451-98FD-653480633B1A}">
      <formula1>Pcode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66CA7-3EF0-413B-B73B-51EF2E5255CC}">
  <dimension ref="B6:K24"/>
  <sheetViews>
    <sheetView topLeftCell="A7" workbookViewId="0">
      <selection activeCell="D6" sqref="D6:K24"/>
    </sheetView>
  </sheetViews>
  <sheetFormatPr defaultRowHeight="20.100000000000001" customHeight="1" x14ac:dyDescent="0.3"/>
  <cols>
    <col min="1" max="1" width="3.42578125" style="7" customWidth="1"/>
    <col min="2" max="2" width="36.140625" style="6" customWidth="1"/>
    <col min="3" max="3" width="1.28515625" style="7" customWidth="1"/>
    <col min="4" max="4" width="17.7109375" style="7" customWidth="1"/>
    <col min="5" max="5" width="13.28515625" style="7" customWidth="1"/>
    <col min="6" max="6" width="12.5703125" style="7" customWidth="1"/>
    <col min="7" max="7" width="11" style="7" customWidth="1"/>
    <col min="8" max="8" width="11.85546875" style="7" customWidth="1"/>
    <col min="9" max="10" width="10.7109375" style="7" customWidth="1"/>
    <col min="11" max="11" width="46.28515625" style="7" customWidth="1"/>
    <col min="12" max="12" width="17.5703125" style="7" customWidth="1"/>
    <col min="13" max="16384" width="9.140625" style="7"/>
  </cols>
  <sheetData>
    <row r="6" spans="2:11" ht="20.100000000000001" customHeight="1" x14ac:dyDescent="0.3">
      <c r="D6" s="7" t="s">
        <v>271</v>
      </c>
      <c r="E6" s="7" t="s">
        <v>272</v>
      </c>
      <c r="F6" s="7" t="s">
        <v>273</v>
      </c>
      <c r="G6" s="7" t="s">
        <v>309</v>
      </c>
      <c r="H6" s="7" t="s">
        <v>310</v>
      </c>
      <c r="I6" s="7" t="s">
        <v>311</v>
      </c>
      <c r="J6" s="7" t="s">
        <v>322</v>
      </c>
      <c r="K6" s="7" t="s">
        <v>312</v>
      </c>
    </row>
    <row r="7" spans="2:11" ht="20.100000000000001" customHeight="1" x14ac:dyDescent="0.3">
      <c r="B7" s="8"/>
      <c r="D7" s="7" t="str">
        <f>IFERROR(Products[[#This Row],[P_code]],"")</f>
        <v>P1001</v>
      </c>
      <c r="E7" s="7" t="str">
        <f>IFERROR(Products[[#This Row],[Products]],"")</f>
        <v>Jeans</v>
      </c>
      <c r="F7" s="7">
        <f>IFERROR(Products[[#This Row],[Cost]],"")</f>
        <v>1200</v>
      </c>
      <c r="G7" s="7">
        <f>SUMIF(Table4[P_code],Table6[[#This Row],[P_code]],Table4[Unit])</f>
        <v>24</v>
      </c>
      <c r="H7" s="7">
        <f>SUMIF(Table5[P_code],Table6[[#This Row],[P_code]],Table5[Unit])</f>
        <v>3</v>
      </c>
      <c r="I7" s="7">
        <f>Table6[[#This Row],[P_units]]-Table6[[#This Row],[S_units]]</f>
        <v>21</v>
      </c>
      <c r="J7" s="7">
        <f>Table6[[#This Row],[Cost]]*Table6[[#This Row],[Stock]]</f>
        <v>25200</v>
      </c>
      <c r="K7" s="7" t="str">
        <f>IFERROR(IF(Table6[[#This Row],[Stock]]&lt;10,"📞"&amp;Table6[[#This Row],[Products]]&amp;"  Need Reordered  "&amp;VLOOKUP(Table6[[#This Row],[P_code]],Vendors[#All],4,0),""),"")</f>
        <v/>
      </c>
    </row>
    <row r="8" spans="2:11" ht="20.100000000000001" customHeight="1" x14ac:dyDescent="0.3">
      <c r="D8" s="7" t="str">
        <f>IFERROR(Products[[#This Row],[P_code]],"")</f>
        <v>P1002</v>
      </c>
      <c r="E8" s="7" t="str">
        <f>IFERROR(Products[[#This Row],[Products]],"")</f>
        <v>Cotton</v>
      </c>
      <c r="F8" s="7">
        <f>IFERROR(Products[[#This Row],[Cost]],"")</f>
        <v>1300</v>
      </c>
      <c r="G8" s="7">
        <f>SUMIF(Table4[P_code],Table6[[#This Row],[P_code]],Table4[Unit])</f>
        <v>36</v>
      </c>
      <c r="H8" s="7">
        <f>SUMIF(Table5[P_code],Table6[[#This Row],[P_code]],Table5[Unit])</f>
        <v>0</v>
      </c>
      <c r="I8" s="7">
        <f>Table6[[#This Row],[P_units]]-Table6[[#This Row],[S_units]]</f>
        <v>36</v>
      </c>
      <c r="J8" s="7">
        <f>Table6[[#This Row],[Cost]]*Table6[[#This Row],[Stock]]</f>
        <v>46800</v>
      </c>
      <c r="K8" s="7" t="str">
        <f>IFERROR(IF(Table6[[#This Row],[Stock]]&lt;10,"📞"&amp;Table6[[#This Row],[Products]]&amp;"  Need Reordered  "&amp;VLOOKUP(Table6[[#This Row],[P_code]],Vendors[#All],4,0),""),"")</f>
        <v/>
      </c>
    </row>
    <row r="9" spans="2:11" ht="20.100000000000001" customHeight="1" x14ac:dyDescent="0.3">
      <c r="D9" s="7" t="str">
        <f>IFERROR(Products[[#This Row],[P_code]],"")</f>
        <v>P1003</v>
      </c>
      <c r="E9" s="7" t="str">
        <f>IFERROR(Products[[#This Row],[Products]],"")</f>
        <v>Paint</v>
      </c>
      <c r="F9" s="7">
        <f>IFERROR(Products[[#This Row],[Cost]],"")</f>
        <v>750</v>
      </c>
      <c r="G9" s="7">
        <f>SUMIF(Table4[P_code],Table6[[#This Row],[P_code]],Table4[Unit])</f>
        <v>33</v>
      </c>
      <c r="H9" s="7">
        <f>SUMIF(Table5[P_code],Table6[[#This Row],[P_code]],Table5[Unit])</f>
        <v>0</v>
      </c>
      <c r="I9" s="7">
        <f>Table6[[#This Row],[P_units]]-Table6[[#This Row],[S_units]]</f>
        <v>33</v>
      </c>
      <c r="J9" s="7">
        <f>Table6[[#This Row],[Cost]]*Table6[[#This Row],[Stock]]</f>
        <v>24750</v>
      </c>
      <c r="K9" s="7" t="str">
        <f>IFERROR(IF(Table6[[#This Row],[Stock]]&lt;10,"📞"&amp;Table6[[#This Row],[Products]]&amp;"  Need Reordered  "&amp;VLOOKUP(Table6[[#This Row],[P_code]],Vendors[#All],4,0),""),"")</f>
        <v/>
      </c>
    </row>
    <row r="10" spans="2:11" ht="20.100000000000001" customHeight="1" x14ac:dyDescent="0.3">
      <c r="D10" s="7" t="str">
        <f>IFERROR(Products[[#This Row],[P_code]],"")</f>
        <v>P1004</v>
      </c>
      <c r="E10" s="7" t="str">
        <f>IFERROR(Products[[#This Row],[Products]],"")</f>
        <v>Casual shirt</v>
      </c>
      <c r="F10" s="7">
        <f>IFERROR(Products[[#This Row],[Cost]],"")</f>
        <v>450</v>
      </c>
      <c r="G10" s="7">
        <f>SUMIF(Table4[P_code],Table6[[#This Row],[P_code]],Table4[Unit])</f>
        <v>19</v>
      </c>
      <c r="H10" s="7">
        <f>SUMIF(Table5[P_code],Table6[[#This Row],[P_code]],Table5[Unit])</f>
        <v>13</v>
      </c>
      <c r="I10" s="7">
        <f>Table6[[#This Row],[P_units]]-Table6[[#This Row],[S_units]]</f>
        <v>6</v>
      </c>
      <c r="J10" s="7">
        <f>Table6[[#This Row],[Cost]]*Table6[[#This Row],[Stock]]</f>
        <v>2700</v>
      </c>
      <c r="K10" s="7" t="str">
        <f>IFERROR(IF(Table6[[#This Row],[Stock]]&lt;10,"📞"&amp;Table6[[#This Row],[Products]]&amp;"  Need Reordered  "&amp;VLOOKUP(Table6[[#This Row],[P_code]],Vendors[#All],4,0),""),"")</f>
        <v>📞Casual shirt  Need Reordered  8066196702</v>
      </c>
    </row>
    <row r="11" spans="2:11" ht="20.100000000000001" customHeight="1" x14ac:dyDescent="0.3">
      <c r="D11" s="7" t="str">
        <f>IFERROR(Products[[#This Row],[P_code]],"")</f>
        <v>P1005</v>
      </c>
      <c r="E11" s="7" t="str">
        <f>IFERROR(Products[[#This Row],[Products]],"")</f>
        <v>T-Shirt</v>
      </c>
      <c r="F11" s="7">
        <f>IFERROR(Products[[#This Row],[Cost]],"")</f>
        <v>750</v>
      </c>
      <c r="G11" s="7">
        <f>SUMIF(Table4[P_code],Table6[[#This Row],[P_code]],Table4[Unit])</f>
        <v>45</v>
      </c>
      <c r="H11" s="7">
        <f>SUMIF(Table5[P_code],Table6[[#This Row],[P_code]],Table5[Unit])</f>
        <v>5</v>
      </c>
      <c r="I11" s="7">
        <f>Table6[[#This Row],[P_units]]-Table6[[#This Row],[S_units]]</f>
        <v>40</v>
      </c>
      <c r="J11" s="7">
        <f>Table6[[#This Row],[Cost]]*Table6[[#This Row],[Stock]]</f>
        <v>30000</v>
      </c>
      <c r="K11" s="7" t="str">
        <f>IFERROR(IF(Table6[[#This Row],[Stock]]&lt;10,"📞"&amp;Table6[[#This Row],[Products]]&amp;"  Need Reordered  "&amp;VLOOKUP(Table6[[#This Row],[P_code]],Vendors[#All],4,0),""),"")</f>
        <v/>
      </c>
    </row>
    <row r="12" spans="2:11" ht="20.100000000000001" customHeight="1" x14ac:dyDescent="0.3">
      <c r="D12" s="7" t="str">
        <f>IFERROR(Products[[#This Row],[P_code]],"")</f>
        <v>P1006</v>
      </c>
      <c r="E12" s="7" t="str">
        <f>IFERROR(Products[[#This Row],[Products]],"")</f>
        <v>Shorts three quarter</v>
      </c>
      <c r="F12" s="7">
        <f>IFERROR(Products[[#This Row],[Cost]],"")</f>
        <v>350</v>
      </c>
      <c r="G12" s="7">
        <f>SUMIF(Table4[P_code],Table6[[#This Row],[P_code]],Table4[Unit])</f>
        <v>23</v>
      </c>
      <c r="H12" s="7">
        <f>SUMIF(Table5[P_code],Table6[[#This Row],[P_code]],Table5[Unit])</f>
        <v>13</v>
      </c>
      <c r="I12" s="7">
        <f>Table6[[#This Row],[P_units]]-Table6[[#This Row],[S_units]]</f>
        <v>10</v>
      </c>
      <c r="J12" s="7">
        <f>Table6[[#This Row],[Cost]]*Table6[[#This Row],[Stock]]</f>
        <v>3500</v>
      </c>
      <c r="K12" s="7" t="str">
        <f>IFERROR(IF(Table6[[#This Row],[Stock]]&lt;10,"📞"&amp;Table6[[#This Row],[Products]]&amp;"  Need Reordered  "&amp;VLOOKUP(Table6[[#This Row],[P_code]],Vendors[#All],4,0),""),"")</f>
        <v/>
      </c>
    </row>
    <row r="13" spans="2:11" ht="20.100000000000001" customHeight="1" x14ac:dyDescent="0.3">
      <c r="D13" s="7" t="str">
        <f>IFERROR(Products[[#This Row],[P_code]],"")</f>
        <v>P1007</v>
      </c>
      <c r="E13" s="7" t="str">
        <f>IFERROR(Products[[#This Row],[Products]],"")</f>
        <v>Track Suit</v>
      </c>
      <c r="F13" s="7">
        <f>IFERROR(Products[[#This Row],[Cost]],"")</f>
        <v>1400</v>
      </c>
      <c r="G13" s="7">
        <f>SUMIF(Table4[P_code],Table6[[#This Row],[P_code]],Table4[Unit])</f>
        <v>33</v>
      </c>
      <c r="H13" s="7">
        <f>SUMIF(Table5[P_code],Table6[[#This Row],[P_code]],Table5[Unit])</f>
        <v>0</v>
      </c>
      <c r="I13" s="7">
        <f>Table6[[#This Row],[P_units]]-Table6[[#This Row],[S_units]]</f>
        <v>33</v>
      </c>
      <c r="J13" s="7">
        <f>Table6[[#This Row],[Cost]]*Table6[[#This Row],[Stock]]</f>
        <v>46200</v>
      </c>
      <c r="K13" s="7" t="str">
        <f>IFERROR(IF(Table6[[#This Row],[Stock]]&lt;10,"📞"&amp;Table6[[#This Row],[Products]]&amp;"  Need Reordered  "&amp;VLOOKUP(Table6[[#This Row],[P_code]],Vendors[#All],4,0),""),"")</f>
        <v/>
      </c>
    </row>
    <row r="14" spans="2:11" ht="20.100000000000001" customHeight="1" x14ac:dyDescent="0.3">
      <c r="D14" s="7" t="str">
        <f>IFERROR(Products[[#This Row],[P_code]],"")</f>
        <v>P1008</v>
      </c>
      <c r="E14" s="7" t="str">
        <f>IFERROR(Products[[#This Row],[Products]],"")</f>
        <v>Socks</v>
      </c>
      <c r="F14" s="7">
        <f>IFERROR(Products[[#This Row],[Cost]],"")</f>
        <v>100</v>
      </c>
      <c r="G14" s="7">
        <f>SUMIF(Table4[P_code],Table6[[#This Row],[P_code]],Table4[Unit])</f>
        <v>0</v>
      </c>
      <c r="H14" s="7">
        <f>SUMIF(Table5[P_code],Table6[[#This Row],[P_code]],Table5[Unit])</f>
        <v>0</v>
      </c>
      <c r="I14" s="7">
        <f>Table6[[#This Row],[P_units]]-Table6[[#This Row],[S_units]]</f>
        <v>0</v>
      </c>
      <c r="J14" s="7">
        <f>Table6[[#This Row],[Cost]]*Table6[[#This Row],[Stock]]</f>
        <v>0</v>
      </c>
      <c r="K14" s="7" t="str">
        <f>IFERROR(IF(Table6[[#This Row],[Stock]]&lt;10,"📞"&amp;Table6[[#This Row],[Products]]&amp;"  Need Reordered  "&amp;VLOOKUP(Table6[[#This Row],[P_code]],Vendors[#All],4,0),""),"")</f>
        <v>📞Socks  Need Reordered  8068714118</v>
      </c>
    </row>
    <row r="15" spans="2:11" ht="20.100000000000001" customHeight="1" x14ac:dyDescent="0.3">
      <c r="D15" s="7" t="str">
        <f>IFERROR(Products[[#This Row],[P_code]],"")</f>
        <v>P1009</v>
      </c>
      <c r="E15" s="7" t="str">
        <f>IFERROR(Products[[#This Row],[Products]],"")</f>
        <v>Polo shirt</v>
      </c>
      <c r="F15" s="7">
        <f>IFERROR(Products[[#This Row],[Cost]],"")</f>
        <v>1200</v>
      </c>
      <c r="G15" s="7">
        <f>SUMIF(Table4[P_code],Table6[[#This Row],[P_code]],Table4[Unit])</f>
        <v>22</v>
      </c>
      <c r="H15" s="7">
        <f>SUMIF(Table5[P_code],Table6[[#This Row],[P_code]],Table5[Unit])</f>
        <v>7</v>
      </c>
      <c r="I15" s="7">
        <f>Table6[[#This Row],[P_units]]-Table6[[#This Row],[S_units]]</f>
        <v>15</v>
      </c>
      <c r="J15" s="7">
        <f>Table6[[#This Row],[Cost]]*Table6[[#This Row],[Stock]]</f>
        <v>18000</v>
      </c>
      <c r="K15" s="7" t="str">
        <f>IFERROR(IF(Table6[[#This Row],[Stock]]&lt;10,"📞"&amp;Table6[[#This Row],[Products]]&amp;"  Need Reordered  "&amp;VLOOKUP(Table6[[#This Row],[P_code]],Vendors[#All],4,0),""),"")</f>
        <v/>
      </c>
    </row>
    <row r="16" spans="2:11" ht="20.100000000000001" customHeight="1" x14ac:dyDescent="0.3">
      <c r="D16" s="7" t="str">
        <f>IFERROR(Products[[#This Row],[P_code]],"")</f>
        <v>P1010</v>
      </c>
      <c r="E16" s="7" t="str">
        <f>IFERROR(Products[[#This Row],[Products]],"")</f>
        <v>Pcap</v>
      </c>
      <c r="F16" s="7">
        <f>IFERROR(Products[[#This Row],[Cost]],"")</f>
        <v>250</v>
      </c>
      <c r="G16" s="7">
        <f>SUMIF(Table4[P_code],Table6[[#This Row],[P_code]],Table4[Unit])</f>
        <v>17</v>
      </c>
      <c r="H16" s="7">
        <f>SUMIF(Table5[P_code],Table6[[#This Row],[P_code]],Table5[Unit])</f>
        <v>5</v>
      </c>
      <c r="I16" s="7">
        <f>Table6[[#This Row],[P_units]]-Table6[[#This Row],[S_units]]</f>
        <v>12</v>
      </c>
      <c r="J16" s="7">
        <f>Table6[[#This Row],[Cost]]*Table6[[#This Row],[Stock]]</f>
        <v>3000</v>
      </c>
      <c r="K16" s="7" t="str">
        <f>IFERROR(IF(Table6[[#This Row],[Stock]]&lt;10,"📞"&amp;Table6[[#This Row],[Products]]&amp;"  Need Reordered  "&amp;VLOOKUP(Table6[[#This Row],[P_code]],Vendors[#All],4,0),""),"")</f>
        <v/>
      </c>
    </row>
    <row r="17" spans="4:11" ht="20.100000000000001" customHeight="1" x14ac:dyDescent="0.3">
      <c r="D17" s="7" t="str">
        <f>IFERROR(Products[[#This Row],[P_code]],"")</f>
        <v/>
      </c>
      <c r="G17" s="7">
        <f>SUMIF(Table4[P_code],Table6[[#This Row],[P_code]],Table4[Unit])</f>
        <v>0</v>
      </c>
      <c r="H17" s="7">
        <f>SUMIF(Table5[P_code],Table6[[#This Row],[P_code]],Table5[Unit])</f>
        <v>0</v>
      </c>
      <c r="I17" s="7">
        <f>Table6[[#This Row],[P_units]]-Table6[[#This Row],[S_units]]</f>
        <v>0</v>
      </c>
      <c r="J17" s="7">
        <f>Table6[[#This Row],[Cost]]*Table6[[#This Row],[Stock]]</f>
        <v>0</v>
      </c>
      <c r="K17" s="7" t="str">
        <f>IFERROR(IF(Table6[[#This Row],[Stock]]&lt;10,"📞"&amp;Table6[[#This Row],[Products]]&amp;"  Need Reordered  "&amp;VLOOKUP(Table6[[#This Row],[P_code]],Vendors[#All],4,0),""),"")</f>
        <v/>
      </c>
    </row>
    <row r="18" spans="4:11" ht="20.100000000000001" customHeight="1" x14ac:dyDescent="0.3">
      <c r="D18" s="7" t="str">
        <f>IFERROR(Products[[#This Row],[P_code]],"")</f>
        <v/>
      </c>
      <c r="G18" s="7">
        <f>SUMIF(Table4[P_code],Table6[[#This Row],[P_code]],Table4[Unit])</f>
        <v>0</v>
      </c>
      <c r="H18" s="7">
        <f>SUMIF(Table5[P_code],Table6[[#This Row],[P_code]],Table5[Unit])</f>
        <v>0</v>
      </c>
      <c r="I18" s="7">
        <f>Table6[[#This Row],[P_units]]-Table6[[#This Row],[S_units]]</f>
        <v>0</v>
      </c>
      <c r="J18" s="7">
        <f>Table6[[#This Row],[Cost]]*Table6[[#This Row],[Stock]]</f>
        <v>0</v>
      </c>
      <c r="K18" s="7" t="str">
        <f>IFERROR(IF(Table6[[#This Row],[Stock]]&lt;10,"📞"&amp;Table6[[#This Row],[Products]]&amp;"  Need Reordered  "&amp;VLOOKUP(Table6[[#This Row],[P_code]],Vendors[#All],4,0),""),"")</f>
        <v/>
      </c>
    </row>
    <row r="19" spans="4:11" ht="20.100000000000001" customHeight="1" x14ac:dyDescent="0.3">
      <c r="D19" s="7" t="str">
        <f>IFERROR(Products[[#This Row],[P_code]],"")</f>
        <v/>
      </c>
      <c r="G19" s="7">
        <f>SUMIF(Table4[P_code],Table6[[#This Row],[P_code]],Table4[Unit])</f>
        <v>0</v>
      </c>
      <c r="H19" s="7">
        <f>SUMIF(Table5[P_code],Table6[[#This Row],[P_code]],Table5[Unit])</f>
        <v>0</v>
      </c>
      <c r="I19" s="7">
        <f>Table6[[#This Row],[P_units]]-Table6[[#This Row],[S_units]]</f>
        <v>0</v>
      </c>
      <c r="J19" s="7">
        <f>Table6[[#This Row],[Cost]]*Table6[[#This Row],[Stock]]</f>
        <v>0</v>
      </c>
      <c r="K19" s="7" t="str">
        <f>IFERROR(IF(Table6[[#This Row],[Stock]]&lt;10,"📞"&amp;Table6[[#This Row],[Products]]&amp;"  Need Reordered  "&amp;VLOOKUP(Table6[[#This Row],[P_code]],Vendors[#All],4,0),""),"")</f>
        <v/>
      </c>
    </row>
    <row r="20" spans="4:11" ht="20.100000000000001" customHeight="1" x14ac:dyDescent="0.3">
      <c r="D20" s="7" t="str">
        <f>IFERROR(Products[[#This Row],[P_code]],"")</f>
        <v/>
      </c>
      <c r="G20" s="7">
        <f>SUMIF(Table4[P_code],Table6[[#This Row],[P_code]],Table4[Unit])</f>
        <v>0</v>
      </c>
      <c r="H20" s="7">
        <f>SUMIF(Table5[P_code],Table6[[#This Row],[P_code]],Table5[Unit])</f>
        <v>0</v>
      </c>
      <c r="I20" s="7">
        <f>Table6[[#This Row],[P_units]]-Table6[[#This Row],[S_units]]</f>
        <v>0</v>
      </c>
      <c r="J20" s="7">
        <f>Table6[[#This Row],[Cost]]*Table6[[#This Row],[Stock]]</f>
        <v>0</v>
      </c>
      <c r="K20" s="7" t="str">
        <f>IFERROR(IF(Table6[[#This Row],[Stock]]&lt;10,"📞"&amp;Table6[[#This Row],[Products]]&amp;"  Need Reordered  "&amp;VLOOKUP(Table6[[#This Row],[P_code]],Vendors[#All],4,0),""),"")</f>
        <v/>
      </c>
    </row>
    <row r="21" spans="4:11" ht="20.100000000000001" customHeight="1" x14ac:dyDescent="0.3">
      <c r="D21" s="7" t="str">
        <f>IFERROR(Products[[#This Row],[P_code]],"")</f>
        <v/>
      </c>
      <c r="G21" s="7">
        <f>SUMIF(Table4[P_code],Table6[[#This Row],[P_code]],Table4[Unit])</f>
        <v>0</v>
      </c>
      <c r="H21" s="7">
        <f>SUMIF(Table5[P_code],Table6[[#This Row],[P_code]],Table5[Unit])</f>
        <v>0</v>
      </c>
      <c r="I21" s="7">
        <f>Table6[[#This Row],[P_units]]-Table6[[#This Row],[S_units]]</f>
        <v>0</v>
      </c>
      <c r="J21" s="7">
        <f>Table6[[#This Row],[Cost]]*Table6[[#This Row],[Stock]]</f>
        <v>0</v>
      </c>
      <c r="K21" s="7" t="str">
        <f>IFERROR(IF(Table6[[#This Row],[Stock]]&lt;10,"📞"&amp;Table6[[#This Row],[Products]]&amp;"  Need Reordered  "&amp;VLOOKUP(Table6[[#This Row],[P_code]],Vendors[#All],4,0),""),"")</f>
        <v/>
      </c>
    </row>
    <row r="22" spans="4:11" ht="20.100000000000001" customHeight="1" x14ac:dyDescent="0.3">
      <c r="D22" s="7" t="str">
        <f>IFERROR(Products[[#This Row],[P_code]],"")</f>
        <v/>
      </c>
      <c r="G22" s="7">
        <f>SUMIF(Table4[P_code],Table6[[#This Row],[P_code]],Table4[Unit])</f>
        <v>0</v>
      </c>
      <c r="H22" s="7">
        <f>SUMIF(Table5[P_code],Table6[[#This Row],[P_code]],Table5[Unit])</f>
        <v>0</v>
      </c>
      <c r="I22" s="7">
        <f>Table6[[#This Row],[P_units]]-Table6[[#This Row],[S_units]]</f>
        <v>0</v>
      </c>
      <c r="J22" s="7">
        <f>Table6[[#This Row],[Cost]]*Table6[[#This Row],[Stock]]</f>
        <v>0</v>
      </c>
      <c r="K22" s="7" t="str">
        <f>IFERROR(IF(Table6[[#This Row],[Stock]]&lt;10,"📞"&amp;Table6[[#This Row],[Products]]&amp;"  Need Reordered  "&amp;VLOOKUP(Table6[[#This Row],[P_code]],Vendors[#All],4,0),""),"")</f>
        <v/>
      </c>
    </row>
    <row r="23" spans="4:11" ht="20.100000000000001" customHeight="1" x14ac:dyDescent="0.3">
      <c r="D23" s="7" t="str">
        <f>IFERROR(Products[[#This Row],[P_code]],"")</f>
        <v/>
      </c>
      <c r="G23" s="7">
        <f>SUMIF(Table4[P_code],Table6[[#This Row],[P_code]],Table4[Unit])</f>
        <v>0</v>
      </c>
      <c r="H23" s="7">
        <f>SUMIF(Table5[P_code],Table6[[#This Row],[P_code]],Table5[Unit])</f>
        <v>0</v>
      </c>
      <c r="I23" s="7">
        <f>Table6[[#This Row],[P_units]]-Table6[[#This Row],[S_units]]</f>
        <v>0</v>
      </c>
      <c r="J23" s="7">
        <f>Table6[[#This Row],[Cost]]*Table6[[#This Row],[Stock]]</f>
        <v>0</v>
      </c>
      <c r="K23" s="7" t="str">
        <f>IFERROR(IF(Table6[[#This Row],[Stock]]&lt;10,"📞"&amp;Table6[[#This Row],[Products]]&amp;"  Need Reordered  "&amp;VLOOKUP(Table6[[#This Row],[P_code]],Vendors[#All],4,0),""),"")</f>
        <v/>
      </c>
    </row>
    <row r="24" spans="4:11" ht="20.100000000000001" customHeight="1" x14ac:dyDescent="0.3">
      <c r="D24" s="7" t="str">
        <f>IFERROR(Products[[#This Row],[P_code]],"")</f>
        <v/>
      </c>
      <c r="G24" s="7">
        <f>SUMIF(Table4[P_code],Table6[[#This Row],[P_code]],Table4[Unit])</f>
        <v>0</v>
      </c>
      <c r="H24" s="7">
        <f>SUMIF(Table5[P_code],Table6[[#This Row],[P_code]],Table5[Unit])</f>
        <v>0</v>
      </c>
      <c r="I24" s="7">
        <f>Table6[[#This Row],[P_units]]-Table6[[#This Row],[S_units]]</f>
        <v>0</v>
      </c>
      <c r="J24" s="7">
        <f>Table6[[#This Row],[Cost]]*Table6[[#This Row],[Stock]]</f>
        <v>0</v>
      </c>
      <c r="K24" s="7" t="str">
        <f>IFERROR(IF(Table6[[#This Row],[Stock]]&lt;10,"📞"&amp;Table6[[#This Row],[Products]]&amp;"  Need Reordered  "&amp;VLOOKUP(Table6[[#This Row],[P_code]],Vendors[#All],4,0),""),"")</f>
        <v/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6262F-F824-41F8-93C3-2A0CC3E6B1DF}">
  <dimension ref="A2:K31"/>
  <sheetViews>
    <sheetView topLeftCell="B7" workbookViewId="0">
      <selection activeCell="J2" sqref="J2:K14"/>
    </sheetView>
  </sheetViews>
  <sheetFormatPr defaultRowHeight="15" x14ac:dyDescent="0.25"/>
  <cols>
    <col min="1" max="1" width="20" bestFit="1" customWidth="1"/>
    <col min="3" max="3" width="15.42578125" bestFit="1" customWidth="1"/>
    <col min="6" max="6" width="17.42578125" bestFit="1" customWidth="1"/>
    <col min="7" max="7" width="14.85546875" bestFit="1" customWidth="1"/>
    <col min="10" max="10" width="18.5703125" bestFit="1" customWidth="1"/>
    <col min="11" max="11" width="12.7109375" bestFit="1" customWidth="1"/>
    <col min="14" max="14" width="8" customWidth="1"/>
  </cols>
  <sheetData>
    <row r="2" spans="1:11" x14ac:dyDescent="0.25">
      <c r="A2" t="s">
        <v>315</v>
      </c>
      <c r="C2" t="s">
        <v>316</v>
      </c>
      <c r="F2" s="24" t="s">
        <v>323</v>
      </c>
      <c r="G2" t="s">
        <v>319</v>
      </c>
      <c r="J2" s="24" t="s">
        <v>323</v>
      </c>
      <c r="K2" t="s">
        <v>326</v>
      </c>
    </row>
    <row r="3" spans="1:11" x14ac:dyDescent="0.25">
      <c r="A3" s="23">
        <v>10</v>
      </c>
      <c r="C3">
        <f>GETPIVOTDATA("Cust_Name",$A$2)</f>
        <v>10</v>
      </c>
      <c r="F3" s="25" t="s">
        <v>292</v>
      </c>
      <c r="G3" s="23">
        <v>12600</v>
      </c>
      <c r="J3" s="25" t="s">
        <v>287</v>
      </c>
      <c r="K3" s="23">
        <v>6</v>
      </c>
    </row>
    <row r="4" spans="1:11" x14ac:dyDescent="0.25">
      <c r="F4" s="25" t="s">
        <v>287</v>
      </c>
      <c r="G4" s="23">
        <v>10400</v>
      </c>
      <c r="J4" s="25" t="s">
        <v>285</v>
      </c>
      <c r="K4" s="23">
        <v>36</v>
      </c>
    </row>
    <row r="5" spans="1:11" x14ac:dyDescent="0.25">
      <c r="A5" t="s">
        <v>317</v>
      </c>
      <c r="C5" t="s">
        <v>318</v>
      </c>
      <c r="F5" s="25" t="s">
        <v>289</v>
      </c>
      <c r="G5" s="23">
        <v>8450</v>
      </c>
      <c r="J5" s="25" t="s">
        <v>284</v>
      </c>
      <c r="K5" s="23">
        <v>21</v>
      </c>
    </row>
    <row r="6" spans="1:11" x14ac:dyDescent="0.25">
      <c r="A6" s="23">
        <v>10</v>
      </c>
      <c r="C6">
        <f>GETPIVOTDATA("Products",$A$5)</f>
        <v>10</v>
      </c>
      <c r="F6" s="25" t="s">
        <v>288</v>
      </c>
      <c r="G6" s="23">
        <v>6750</v>
      </c>
      <c r="J6" s="25" t="s">
        <v>286</v>
      </c>
      <c r="K6" s="23">
        <v>33</v>
      </c>
    </row>
    <row r="7" spans="1:11" x14ac:dyDescent="0.25">
      <c r="F7" s="25" t="s">
        <v>324</v>
      </c>
      <c r="G7" s="23">
        <v>38200</v>
      </c>
      <c r="J7" s="25" t="s">
        <v>293</v>
      </c>
      <c r="K7" s="23">
        <v>12</v>
      </c>
    </row>
    <row r="8" spans="1:11" x14ac:dyDescent="0.25">
      <c r="A8" t="s">
        <v>319</v>
      </c>
      <c r="C8" t="s">
        <v>320</v>
      </c>
      <c r="J8" s="25" t="s">
        <v>292</v>
      </c>
      <c r="K8" s="23">
        <v>15</v>
      </c>
    </row>
    <row r="9" spans="1:11" x14ac:dyDescent="0.25">
      <c r="A9" s="23">
        <v>227550</v>
      </c>
      <c r="C9">
        <f>GETPIVOTDATA("Amount",$A$8)</f>
        <v>227550</v>
      </c>
      <c r="J9" s="25" t="s">
        <v>289</v>
      </c>
      <c r="K9" s="23">
        <v>10</v>
      </c>
    </row>
    <row r="10" spans="1:11" x14ac:dyDescent="0.25">
      <c r="J10" s="25" t="s">
        <v>291</v>
      </c>
      <c r="K10" s="23">
        <v>0</v>
      </c>
    </row>
    <row r="11" spans="1:11" x14ac:dyDescent="0.25">
      <c r="A11" t="s">
        <v>319</v>
      </c>
      <c r="C11" t="s">
        <v>321</v>
      </c>
      <c r="J11" s="25" t="s">
        <v>290</v>
      </c>
      <c r="K11" s="23">
        <v>33</v>
      </c>
    </row>
    <row r="12" spans="1:11" x14ac:dyDescent="0.25">
      <c r="A12" s="23">
        <v>46200</v>
      </c>
      <c r="C12">
        <f>GETPIVOTDATA("Amount",$A$11)</f>
        <v>46200</v>
      </c>
      <c r="J12" s="25" t="s">
        <v>288</v>
      </c>
      <c r="K12" s="23">
        <v>40</v>
      </c>
    </row>
    <row r="13" spans="1:11" x14ac:dyDescent="0.25">
      <c r="J13" s="25" t="s">
        <v>325</v>
      </c>
      <c r="K13" s="23">
        <v>0</v>
      </c>
    </row>
    <row r="14" spans="1:11" x14ac:dyDescent="0.25">
      <c r="A14" s="14"/>
      <c r="B14" s="15"/>
      <c r="C14" s="16"/>
      <c r="J14" s="25" t="s">
        <v>324</v>
      </c>
      <c r="K14" s="23">
        <v>206</v>
      </c>
    </row>
    <row r="15" spans="1:11" x14ac:dyDescent="0.25">
      <c r="A15" s="17"/>
      <c r="B15" s="18"/>
      <c r="C15" s="19"/>
      <c r="F15" s="24" t="s">
        <v>323</v>
      </c>
      <c r="G15" t="s">
        <v>319</v>
      </c>
    </row>
    <row r="16" spans="1:11" x14ac:dyDescent="0.25">
      <c r="A16" s="17"/>
      <c r="B16" s="18"/>
      <c r="C16" s="19"/>
      <c r="F16" s="25" t="s">
        <v>244</v>
      </c>
      <c r="G16" s="23">
        <v>12600</v>
      </c>
    </row>
    <row r="17" spans="1:7" x14ac:dyDescent="0.25">
      <c r="A17" s="17"/>
      <c r="B17" s="18"/>
      <c r="C17" s="19"/>
      <c r="F17" s="25" t="s">
        <v>248</v>
      </c>
      <c r="G17" s="23">
        <v>11550</v>
      </c>
    </row>
    <row r="18" spans="1:7" x14ac:dyDescent="0.25">
      <c r="A18" s="17"/>
      <c r="B18" s="18"/>
      <c r="C18" s="19"/>
      <c r="F18" s="25" t="s">
        <v>242</v>
      </c>
      <c r="G18" s="23">
        <v>10450</v>
      </c>
    </row>
    <row r="19" spans="1:7" x14ac:dyDescent="0.25">
      <c r="A19" s="17"/>
      <c r="B19" s="18"/>
      <c r="C19" s="19"/>
      <c r="F19" s="25" t="s">
        <v>250</v>
      </c>
      <c r="G19" s="23">
        <v>6000</v>
      </c>
    </row>
    <row r="20" spans="1:7" x14ac:dyDescent="0.25">
      <c r="A20" s="17"/>
      <c r="B20" s="18"/>
      <c r="C20" s="19"/>
      <c r="F20" s="25" t="s">
        <v>324</v>
      </c>
      <c r="G20" s="23">
        <v>40600</v>
      </c>
    </row>
    <row r="21" spans="1:7" x14ac:dyDescent="0.25">
      <c r="A21" s="17"/>
      <c r="B21" s="18"/>
      <c r="C21" s="19"/>
    </row>
    <row r="22" spans="1:7" x14ac:dyDescent="0.25">
      <c r="A22" s="17"/>
      <c r="B22" s="18"/>
      <c r="C22" s="19"/>
    </row>
    <row r="23" spans="1:7" x14ac:dyDescent="0.25">
      <c r="A23" s="17"/>
      <c r="B23" s="18"/>
      <c r="C23" s="19"/>
    </row>
    <row r="24" spans="1:7" x14ac:dyDescent="0.25">
      <c r="A24" s="17"/>
      <c r="B24" s="18"/>
      <c r="C24" s="19"/>
    </row>
    <row r="25" spans="1:7" x14ac:dyDescent="0.25">
      <c r="A25" s="17"/>
      <c r="B25" s="18"/>
      <c r="C25" s="19"/>
    </row>
    <row r="26" spans="1:7" x14ac:dyDescent="0.25">
      <c r="A26" s="17"/>
      <c r="B26" s="18"/>
      <c r="C26" s="19"/>
    </row>
    <row r="27" spans="1:7" x14ac:dyDescent="0.25">
      <c r="A27" s="17"/>
      <c r="B27" s="18"/>
      <c r="C27" s="19"/>
    </row>
    <row r="28" spans="1:7" x14ac:dyDescent="0.25">
      <c r="A28" s="17"/>
      <c r="B28" s="18"/>
      <c r="C28" s="19"/>
    </row>
    <row r="29" spans="1:7" x14ac:dyDescent="0.25">
      <c r="A29" s="17"/>
      <c r="B29" s="18"/>
      <c r="C29" s="19"/>
    </row>
    <row r="30" spans="1:7" x14ac:dyDescent="0.25">
      <c r="A30" s="17"/>
      <c r="B30" s="18"/>
      <c r="C30" s="19"/>
    </row>
    <row r="31" spans="1:7" x14ac:dyDescent="0.25">
      <c r="A31" s="20"/>
      <c r="B31" s="21"/>
      <c r="C31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PLANTATION FILE</vt:lpstr>
      <vt:lpstr>Dashboard</vt:lpstr>
      <vt:lpstr>Customers</vt:lpstr>
      <vt:lpstr>Products</vt:lpstr>
      <vt:lpstr>Vendors</vt:lpstr>
      <vt:lpstr>Purchase</vt:lpstr>
      <vt:lpstr>Sale</vt:lpstr>
      <vt:lpstr>Inventory</vt:lpstr>
      <vt:lpstr>Pivot tables</vt:lpstr>
      <vt:lpstr>Custid</vt:lpstr>
      <vt:lpstr>Pcode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chisom franklin</cp:lastModifiedBy>
  <dcterms:created xsi:type="dcterms:W3CDTF">2026-05-23T20:32:27Z</dcterms:created>
  <dcterms:modified xsi:type="dcterms:W3CDTF">2026-05-24T04:53:26Z</dcterms:modified>
</cp:coreProperties>
</file>